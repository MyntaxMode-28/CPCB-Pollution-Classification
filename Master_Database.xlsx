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ubhagya Dixit\Desktop\30-11-2025\"/>
    </mc:Choice>
  </mc:AlternateContent>
  <xr:revisionPtr revIDLastSave="0" documentId="13_ncr:1_{5C3F41E6-0147-4E40-947B-054DCECD4EF9}" xr6:coauthVersionLast="47" xr6:coauthVersionMax="47" xr10:uidLastSave="{00000000-0000-0000-0000-000000000000}"/>
  <bookViews>
    <workbookView xWindow="-110" yWindow="-110" windowWidth="19420" windowHeight="10300" xr2:uid="{00000000-000D-0000-FFFF-FFFF00000000}"/>
  </bookViews>
  <sheets>
    <sheet name="CPCB list" sheetId="2" r:id="rId1"/>
    <sheet name="White sub sectors" sheetId="3" r:id="rId2"/>
    <sheet name="Not in ambit" sheetId="4" r:id="rId3"/>
  </sheets>
  <definedNames>
    <definedName name="_xlnm._FilterDatabase" localSheetId="0" hidden="1">'CPCB list'!$A$1:$Q$537</definedName>
    <definedName name="_xlnm._FilterDatabase" localSheetId="1" hidden="1">'White sub sectors'!$A$1:$E$427</definedName>
  </definedNames>
  <calcPr calcId="191029"/>
  <customWorkbookViews>
    <customWorkbookView name="Filter 1" guid="{65D2D3E2-CB39-41BE-B7FE-672A533AFFE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gcHTugod4q/urZ3NarzNjFTwJ9tBj0pAouVhi8O3YL0="/>
    </ext>
  </extLst>
</workbook>
</file>

<file path=xl/calcChain.xml><?xml version="1.0" encoding="utf-8"?>
<calcChain xmlns="http://schemas.openxmlformats.org/spreadsheetml/2006/main">
  <c r="M530" i="2" l="1"/>
  <c r="J530" i="2"/>
  <c r="F530" i="2"/>
  <c r="M529" i="2"/>
  <c r="J529" i="2"/>
  <c r="F529" i="2"/>
  <c r="M528" i="2"/>
  <c r="J528" i="2"/>
  <c r="F528" i="2"/>
  <c r="M527" i="2"/>
  <c r="J527" i="2"/>
  <c r="F527" i="2"/>
  <c r="M526" i="2"/>
  <c r="J526" i="2"/>
  <c r="F526" i="2"/>
  <c r="M525" i="2"/>
  <c r="J525" i="2"/>
  <c r="F525" i="2"/>
  <c r="M524" i="2"/>
  <c r="J524" i="2"/>
  <c r="F524" i="2"/>
  <c r="M523" i="2"/>
  <c r="J523" i="2"/>
  <c r="F523" i="2"/>
  <c r="M522" i="2"/>
  <c r="J522" i="2"/>
  <c r="F522" i="2"/>
  <c r="M521" i="2"/>
  <c r="J521" i="2"/>
  <c r="F521" i="2"/>
  <c r="M520" i="2"/>
  <c r="J520" i="2"/>
  <c r="F520" i="2"/>
  <c r="M518" i="2"/>
  <c r="J518" i="2"/>
  <c r="F518" i="2"/>
  <c r="M517" i="2"/>
  <c r="J517" i="2"/>
  <c r="F517" i="2"/>
  <c r="J516" i="2"/>
  <c r="F516" i="2"/>
  <c r="M515" i="2"/>
  <c r="J515" i="2"/>
  <c r="F515" i="2"/>
  <c r="M513" i="2"/>
  <c r="J513" i="2"/>
  <c r="F513" i="2"/>
  <c r="M512" i="2"/>
  <c r="J512" i="2"/>
  <c r="F512" i="2"/>
  <c r="M511" i="2"/>
  <c r="J511" i="2"/>
  <c r="F511" i="2"/>
  <c r="M509" i="2"/>
  <c r="J509" i="2"/>
  <c r="F509" i="2"/>
  <c r="M508" i="2"/>
  <c r="J508" i="2"/>
  <c r="F508" i="2"/>
  <c r="M506" i="2"/>
  <c r="J506" i="2"/>
  <c r="F506" i="2"/>
  <c r="M505" i="2"/>
  <c r="J505" i="2"/>
  <c r="F505" i="2"/>
  <c r="M503" i="2"/>
  <c r="J503" i="2"/>
  <c r="F503" i="2"/>
  <c r="M502" i="2"/>
  <c r="J502" i="2"/>
  <c r="F502" i="2"/>
  <c r="M500" i="2"/>
  <c r="J500" i="2"/>
  <c r="F500" i="2"/>
  <c r="M499" i="2"/>
  <c r="J499" i="2"/>
  <c r="F499" i="2"/>
  <c r="M498" i="2"/>
  <c r="J498" i="2"/>
  <c r="F498" i="2"/>
  <c r="M497" i="2"/>
  <c r="J497" i="2"/>
  <c r="F497" i="2"/>
  <c r="J495" i="2"/>
  <c r="F495" i="2"/>
  <c r="J494" i="2"/>
  <c r="F494" i="2"/>
  <c r="J493" i="2"/>
  <c r="F493" i="2"/>
  <c r="J492" i="2"/>
  <c r="F492" i="2"/>
  <c r="J491" i="2"/>
  <c r="F491" i="2"/>
  <c r="J490" i="2"/>
  <c r="F490" i="2"/>
  <c r="J489" i="2"/>
  <c r="F489" i="2"/>
  <c r="J488" i="2"/>
  <c r="F488" i="2"/>
  <c r="M486" i="2"/>
  <c r="J486" i="2"/>
  <c r="F486" i="2"/>
  <c r="M485" i="2"/>
  <c r="J485" i="2"/>
  <c r="F485" i="2"/>
  <c r="M484" i="2"/>
  <c r="J484" i="2"/>
  <c r="F484" i="2"/>
  <c r="M472" i="2"/>
  <c r="J472" i="2"/>
  <c r="F472" i="2"/>
  <c r="M471" i="2"/>
  <c r="J471" i="2"/>
  <c r="F471" i="2"/>
  <c r="M469" i="2"/>
  <c r="J469" i="2"/>
  <c r="F469" i="2"/>
  <c r="M468" i="2"/>
  <c r="J468" i="2"/>
  <c r="F468" i="2"/>
  <c r="M467" i="2"/>
  <c r="J467" i="2"/>
  <c r="F467" i="2"/>
  <c r="M465" i="2"/>
  <c r="J465" i="2"/>
  <c r="F465" i="2"/>
  <c r="M464" i="2"/>
  <c r="J464" i="2"/>
  <c r="F464" i="2"/>
  <c r="M463" i="2"/>
  <c r="J463" i="2"/>
  <c r="F463" i="2"/>
  <c r="M462" i="2"/>
  <c r="J462" i="2"/>
  <c r="F462" i="2"/>
  <c r="M460" i="2"/>
  <c r="J460" i="2"/>
  <c r="F460" i="2"/>
  <c r="M459" i="2"/>
  <c r="J459" i="2"/>
  <c r="F459" i="2"/>
  <c r="M458" i="2"/>
  <c r="J458" i="2"/>
  <c r="F458" i="2"/>
  <c r="M457" i="2"/>
  <c r="J457" i="2"/>
  <c r="F457" i="2"/>
  <c r="M456" i="2"/>
  <c r="J456" i="2"/>
  <c r="F456" i="2"/>
  <c r="M455" i="2"/>
  <c r="J455" i="2"/>
  <c r="F455" i="2"/>
  <c r="M454" i="2"/>
  <c r="J454" i="2"/>
  <c r="F454" i="2"/>
  <c r="M453" i="2"/>
  <c r="J453" i="2"/>
  <c r="F453" i="2"/>
  <c r="M452" i="2"/>
  <c r="J452" i="2"/>
  <c r="F452" i="2"/>
  <c r="M451" i="2"/>
  <c r="J451" i="2"/>
  <c r="F451" i="2"/>
  <c r="M450" i="2"/>
  <c r="J450" i="2"/>
  <c r="F450" i="2"/>
  <c r="M449" i="2"/>
  <c r="J449" i="2"/>
  <c r="F449" i="2"/>
  <c r="M448" i="2"/>
  <c r="J448" i="2"/>
  <c r="F448" i="2"/>
  <c r="M447" i="2"/>
  <c r="J447" i="2"/>
  <c r="F447" i="2"/>
  <c r="M446" i="2"/>
  <c r="J446" i="2"/>
  <c r="F446" i="2"/>
  <c r="M445" i="2"/>
  <c r="J445" i="2"/>
  <c r="F445" i="2"/>
  <c r="M444" i="2"/>
  <c r="J444" i="2"/>
  <c r="F444" i="2"/>
  <c r="M443" i="2"/>
  <c r="J443" i="2"/>
  <c r="F443" i="2"/>
  <c r="M442" i="2"/>
  <c r="J442" i="2"/>
  <c r="F442" i="2"/>
  <c r="M441" i="2"/>
  <c r="J441" i="2"/>
  <c r="F441" i="2"/>
  <c r="M440" i="2"/>
  <c r="J440" i="2"/>
  <c r="F440" i="2"/>
  <c r="M439" i="2"/>
  <c r="J439" i="2"/>
  <c r="F439" i="2"/>
  <c r="M438" i="2"/>
  <c r="J438" i="2"/>
  <c r="F438" i="2"/>
  <c r="M437" i="2"/>
  <c r="J437" i="2"/>
  <c r="F437" i="2"/>
  <c r="M436" i="2"/>
  <c r="J436" i="2"/>
  <c r="F436" i="2"/>
  <c r="M435" i="2"/>
  <c r="J435" i="2"/>
  <c r="F435" i="2"/>
  <c r="M434" i="2"/>
  <c r="J434" i="2"/>
  <c r="F434" i="2"/>
  <c r="M433" i="2"/>
  <c r="J433" i="2"/>
  <c r="F433" i="2"/>
  <c r="M432" i="2"/>
  <c r="J432" i="2"/>
  <c r="F432" i="2"/>
  <c r="M431" i="2"/>
  <c r="J431" i="2"/>
  <c r="F431" i="2"/>
  <c r="M430" i="2"/>
  <c r="J430" i="2"/>
  <c r="F430" i="2"/>
  <c r="M429" i="2"/>
  <c r="J429" i="2"/>
  <c r="F429" i="2"/>
  <c r="M428" i="2"/>
  <c r="J428" i="2"/>
  <c r="F428" i="2"/>
  <c r="M427" i="2"/>
  <c r="J427" i="2"/>
  <c r="F427" i="2"/>
  <c r="M426" i="2"/>
  <c r="J426" i="2"/>
  <c r="F426" i="2"/>
  <c r="M425" i="2"/>
  <c r="J425" i="2"/>
  <c r="F425" i="2"/>
  <c r="M423" i="2"/>
  <c r="J423" i="2"/>
  <c r="F423" i="2"/>
  <c r="M422" i="2"/>
  <c r="J422" i="2"/>
  <c r="F422" i="2"/>
  <c r="M421" i="2"/>
  <c r="J421" i="2"/>
  <c r="F421" i="2"/>
  <c r="M419" i="2"/>
  <c r="J419" i="2"/>
  <c r="F419" i="2"/>
  <c r="M418" i="2"/>
  <c r="J418" i="2"/>
  <c r="F418" i="2"/>
  <c r="M416" i="2"/>
  <c r="J416" i="2"/>
  <c r="F416" i="2"/>
  <c r="M415" i="2"/>
  <c r="J415" i="2"/>
  <c r="F415" i="2"/>
  <c r="M414" i="2"/>
  <c r="J414" i="2"/>
  <c r="F414" i="2"/>
  <c r="M413" i="2"/>
  <c r="J413" i="2"/>
  <c r="F413" i="2"/>
  <c r="M411" i="2"/>
  <c r="J411" i="2"/>
  <c r="F411" i="2"/>
  <c r="M410" i="2"/>
  <c r="J410" i="2"/>
  <c r="F410" i="2"/>
  <c r="M409" i="2"/>
  <c r="J409" i="2"/>
  <c r="F409" i="2"/>
  <c r="M407" i="2"/>
  <c r="J407" i="2"/>
  <c r="F407" i="2"/>
  <c r="M406" i="2"/>
  <c r="J406" i="2"/>
  <c r="F406" i="2"/>
  <c r="M405" i="2"/>
  <c r="J405" i="2"/>
  <c r="F405" i="2"/>
  <c r="M404" i="2"/>
  <c r="J404" i="2"/>
  <c r="F404" i="2"/>
  <c r="M403" i="2"/>
  <c r="J403" i="2"/>
  <c r="F403" i="2"/>
  <c r="M401" i="2"/>
  <c r="J401" i="2"/>
  <c r="F401" i="2"/>
  <c r="M400" i="2"/>
  <c r="J400" i="2"/>
  <c r="F400" i="2"/>
  <c r="M399" i="2"/>
  <c r="J399" i="2"/>
  <c r="F399" i="2"/>
  <c r="M398" i="2"/>
  <c r="J398" i="2"/>
  <c r="F398" i="2"/>
  <c r="M396" i="2"/>
  <c r="J396" i="2"/>
  <c r="F396" i="2"/>
  <c r="M395" i="2"/>
  <c r="J395" i="2"/>
  <c r="F395" i="2"/>
  <c r="M393" i="2"/>
  <c r="J393" i="2"/>
  <c r="F393" i="2"/>
  <c r="M392" i="2"/>
  <c r="J392" i="2"/>
  <c r="F392" i="2"/>
  <c r="M391" i="2"/>
  <c r="J391" i="2"/>
  <c r="F391" i="2"/>
  <c r="M390" i="2"/>
  <c r="J390" i="2"/>
  <c r="F390" i="2"/>
  <c r="M388" i="2"/>
  <c r="J388" i="2"/>
  <c r="F388" i="2"/>
  <c r="M387" i="2"/>
  <c r="J387" i="2"/>
  <c r="F387" i="2"/>
  <c r="M386" i="2"/>
  <c r="J386" i="2"/>
  <c r="F386" i="2"/>
  <c r="M385" i="2"/>
  <c r="J385" i="2"/>
  <c r="F385" i="2"/>
  <c r="M384" i="2"/>
  <c r="J384" i="2"/>
  <c r="F384" i="2"/>
  <c r="M383" i="2"/>
  <c r="J383" i="2"/>
  <c r="F383" i="2"/>
  <c r="M382" i="2"/>
  <c r="J382" i="2"/>
  <c r="F382" i="2"/>
  <c r="M381" i="2"/>
  <c r="J381" i="2"/>
  <c r="F381" i="2"/>
  <c r="M379" i="2"/>
  <c r="J379" i="2"/>
  <c r="F379" i="2"/>
  <c r="M378" i="2"/>
  <c r="J378" i="2"/>
  <c r="F378" i="2"/>
  <c r="M377" i="2"/>
  <c r="J377" i="2"/>
  <c r="F377" i="2"/>
  <c r="M375" i="2"/>
  <c r="J375" i="2"/>
  <c r="F375" i="2"/>
  <c r="M374" i="2"/>
  <c r="J374" i="2"/>
  <c r="F374" i="2"/>
  <c r="M373" i="2"/>
  <c r="J373" i="2"/>
  <c r="F373" i="2"/>
  <c r="M372" i="2"/>
  <c r="J372" i="2"/>
  <c r="F372" i="2"/>
  <c r="M371" i="2"/>
  <c r="J371" i="2"/>
  <c r="F371" i="2"/>
  <c r="M370" i="2"/>
  <c r="J370" i="2"/>
  <c r="F370" i="2"/>
  <c r="M369" i="2"/>
  <c r="J369" i="2"/>
  <c r="F369" i="2"/>
  <c r="M368" i="2"/>
  <c r="J368" i="2"/>
  <c r="F368" i="2"/>
  <c r="M367" i="2"/>
  <c r="J367" i="2"/>
  <c r="F367" i="2"/>
  <c r="M366" i="2"/>
  <c r="J366" i="2"/>
  <c r="F366" i="2"/>
  <c r="M365" i="2"/>
  <c r="J365" i="2"/>
  <c r="F365" i="2"/>
  <c r="M364" i="2"/>
  <c r="J364" i="2"/>
  <c r="F364" i="2"/>
  <c r="M362" i="2"/>
  <c r="J362" i="2"/>
  <c r="F362" i="2"/>
  <c r="M361" i="2"/>
  <c r="J361" i="2"/>
  <c r="F361" i="2"/>
  <c r="M359" i="2"/>
  <c r="J359" i="2"/>
  <c r="F359" i="2"/>
  <c r="M358" i="2"/>
  <c r="J358" i="2"/>
  <c r="F358" i="2"/>
  <c r="M357" i="2"/>
  <c r="J357" i="2"/>
  <c r="F357" i="2"/>
  <c r="M356" i="2"/>
  <c r="J356" i="2"/>
  <c r="F356" i="2"/>
  <c r="M355" i="2"/>
  <c r="J355" i="2"/>
  <c r="F355" i="2"/>
  <c r="M354" i="2"/>
  <c r="J354" i="2"/>
  <c r="F354" i="2"/>
  <c r="M353" i="2"/>
  <c r="J353" i="2"/>
  <c r="F353" i="2"/>
  <c r="M352" i="2"/>
  <c r="J352" i="2"/>
  <c r="F352" i="2"/>
  <c r="O350" i="2"/>
  <c r="J350" i="2"/>
  <c r="M349" i="2"/>
  <c r="J349" i="2"/>
  <c r="F349" i="2"/>
  <c r="M348" i="2"/>
  <c r="J348" i="2"/>
  <c r="F348" i="2"/>
  <c r="M347" i="2"/>
  <c r="J347" i="2"/>
  <c r="F347" i="2"/>
  <c r="M345" i="2"/>
  <c r="J345" i="2"/>
  <c r="F345" i="2"/>
  <c r="M344" i="2"/>
  <c r="J344" i="2"/>
  <c r="F344" i="2"/>
  <c r="M343" i="2"/>
  <c r="J343" i="2"/>
  <c r="F343" i="2"/>
  <c r="M342" i="2"/>
  <c r="J342" i="2"/>
  <c r="F342" i="2"/>
  <c r="M341" i="2"/>
  <c r="J341" i="2"/>
  <c r="F341" i="2"/>
  <c r="M339" i="2"/>
  <c r="J339" i="2"/>
  <c r="F339" i="2"/>
  <c r="M338" i="2"/>
  <c r="J338" i="2"/>
  <c r="F338" i="2"/>
  <c r="M337" i="2"/>
  <c r="J337" i="2"/>
  <c r="F337" i="2"/>
  <c r="M336" i="2"/>
  <c r="J336" i="2"/>
  <c r="F336" i="2"/>
  <c r="M335" i="2"/>
  <c r="J335" i="2"/>
  <c r="F335" i="2"/>
  <c r="M333" i="2"/>
  <c r="J333" i="2"/>
  <c r="F333" i="2"/>
  <c r="M332" i="2"/>
  <c r="J332" i="2"/>
  <c r="F332" i="2"/>
  <c r="M331" i="2"/>
  <c r="J331" i="2"/>
  <c r="F331" i="2"/>
  <c r="M329" i="2"/>
  <c r="J329" i="2"/>
  <c r="F329" i="2"/>
  <c r="M328" i="2"/>
  <c r="J328" i="2"/>
  <c r="F328" i="2"/>
  <c r="M327" i="2"/>
  <c r="J327" i="2"/>
  <c r="F327" i="2"/>
  <c r="M326" i="2"/>
  <c r="J326" i="2"/>
  <c r="F326" i="2"/>
  <c r="M324" i="2"/>
  <c r="J324" i="2"/>
  <c r="F324" i="2"/>
  <c r="M323" i="2"/>
  <c r="J323" i="2"/>
  <c r="F323" i="2"/>
  <c r="M322" i="2"/>
  <c r="J322" i="2"/>
  <c r="F322" i="2"/>
  <c r="M320" i="2"/>
  <c r="J320" i="2"/>
  <c r="F320" i="2"/>
  <c r="M319" i="2"/>
  <c r="J319" i="2"/>
  <c r="F319" i="2"/>
  <c r="M318" i="2"/>
  <c r="J318" i="2"/>
  <c r="F318" i="2"/>
  <c r="M317" i="2"/>
  <c r="J317" i="2"/>
  <c r="F317" i="2"/>
  <c r="M316" i="2"/>
  <c r="J316" i="2"/>
  <c r="F316" i="2"/>
  <c r="M315" i="2"/>
  <c r="J315" i="2"/>
  <c r="F315" i="2"/>
  <c r="M314" i="2"/>
  <c r="J314" i="2"/>
  <c r="F314" i="2"/>
  <c r="M313" i="2"/>
  <c r="J313" i="2"/>
  <c r="F313" i="2"/>
  <c r="M312" i="2"/>
  <c r="J312" i="2"/>
  <c r="F312" i="2"/>
  <c r="M311" i="2"/>
  <c r="J311" i="2"/>
  <c r="F311" i="2"/>
  <c r="M310" i="2"/>
  <c r="J310" i="2"/>
  <c r="F310" i="2"/>
  <c r="M309" i="2"/>
  <c r="J309" i="2"/>
  <c r="F309" i="2"/>
  <c r="M308" i="2"/>
  <c r="J308" i="2"/>
  <c r="F308" i="2"/>
  <c r="M307" i="2"/>
  <c r="J307" i="2"/>
  <c r="F307" i="2"/>
  <c r="M306" i="2"/>
  <c r="J306" i="2"/>
  <c r="F306" i="2"/>
  <c r="M305" i="2"/>
  <c r="J305" i="2"/>
  <c r="F305" i="2"/>
  <c r="M304" i="2"/>
  <c r="J304" i="2"/>
  <c r="F304" i="2"/>
  <c r="J303" i="2"/>
  <c r="F303" i="2"/>
  <c r="M302" i="2"/>
  <c r="J302" i="2"/>
  <c r="F302" i="2"/>
  <c r="M301" i="2"/>
  <c r="J301" i="2"/>
  <c r="F301" i="2"/>
  <c r="M300" i="2"/>
  <c r="J300" i="2"/>
  <c r="F300" i="2"/>
  <c r="M299" i="2"/>
  <c r="J299" i="2"/>
  <c r="F299" i="2"/>
  <c r="M298" i="2"/>
  <c r="J298" i="2"/>
  <c r="F298" i="2"/>
  <c r="M297" i="2"/>
  <c r="J297" i="2"/>
  <c r="F297" i="2"/>
  <c r="M296" i="2"/>
  <c r="J296" i="2"/>
  <c r="F296" i="2"/>
  <c r="M295" i="2"/>
  <c r="J295" i="2"/>
  <c r="F295" i="2"/>
  <c r="M294" i="2"/>
  <c r="J294" i="2"/>
  <c r="F294" i="2"/>
  <c r="M292" i="2"/>
  <c r="J292" i="2"/>
  <c r="F292" i="2"/>
  <c r="M291" i="2"/>
  <c r="J291" i="2"/>
  <c r="F291" i="2"/>
  <c r="M289" i="2"/>
  <c r="J289" i="2"/>
  <c r="F289" i="2"/>
  <c r="M288" i="2"/>
  <c r="J288" i="2"/>
  <c r="F288" i="2"/>
  <c r="M287" i="2"/>
  <c r="J287" i="2"/>
  <c r="F287" i="2"/>
  <c r="M286" i="2"/>
  <c r="J286" i="2"/>
  <c r="F286" i="2"/>
  <c r="M284" i="2"/>
  <c r="J284" i="2"/>
  <c r="F284" i="2"/>
  <c r="M283" i="2"/>
  <c r="J283" i="2"/>
  <c r="F283" i="2"/>
  <c r="M282" i="2"/>
  <c r="J282" i="2"/>
  <c r="F282" i="2"/>
  <c r="M281" i="2"/>
  <c r="J281" i="2"/>
  <c r="F281" i="2"/>
  <c r="M280" i="2"/>
  <c r="J280" i="2"/>
  <c r="F280" i="2"/>
  <c r="M279" i="2"/>
  <c r="J279" i="2"/>
  <c r="F279" i="2"/>
  <c r="M278" i="2"/>
  <c r="J278" i="2"/>
  <c r="F278" i="2"/>
  <c r="M277" i="2"/>
  <c r="J277" i="2"/>
  <c r="F277" i="2"/>
  <c r="M275" i="2"/>
  <c r="J275" i="2"/>
  <c r="F275" i="2"/>
  <c r="M274" i="2"/>
  <c r="J274" i="2"/>
  <c r="F274" i="2"/>
  <c r="M273" i="2"/>
  <c r="J273" i="2"/>
  <c r="F273" i="2"/>
  <c r="M272" i="2"/>
  <c r="J272" i="2"/>
  <c r="F272" i="2"/>
  <c r="M270" i="2"/>
  <c r="J270" i="2"/>
  <c r="F270" i="2"/>
  <c r="M269" i="2"/>
  <c r="J269" i="2"/>
  <c r="F269" i="2"/>
  <c r="M268" i="2"/>
  <c r="J268" i="2"/>
  <c r="F268" i="2"/>
  <c r="M266" i="2"/>
  <c r="J266" i="2"/>
  <c r="F266" i="2"/>
  <c r="M265" i="2"/>
  <c r="J265" i="2"/>
  <c r="F265" i="2"/>
  <c r="M264" i="2"/>
  <c r="J264" i="2"/>
  <c r="F264" i="2"/>
  <c r="M262" i="2"/>
  <c r="J262" i="2"/>
  <c r="F262" i="2"/>
  <c r="M261" i="2"/>
  <c r="J261" i="2"/>
  <c r="F261" i="2"/>
  <c r="M260" i="2"/>
  <c r="J260" i="2"/>
  <c r="F260" i="2"/>
  <c r="M259" i="2"/>
  <c r="J259" i="2"/>
  <c r="F259" i="2"/>
  <c r="O258" i="2"/>
  <c r="M258" i="2"/>
  <c r="M257" i="2"/>
  <c r="J257" i="2"/>
  <c r="F257" i="2"/>
  <c r="M255" i="2"/>
  <c r="J255" i="2"/>
  <c r="F255" i="2"/>
  <c r="M254" i="2"/>
  <c r="J254" i="2"/>
  <c r="F254" i="2"/>
  <c r="M252" i="2"/>
  <c r="J252" i="2"/>
  <c r="F252" i="2"/>
  <c r="M251" i="2"/>
  <c r="J251" i="2"/>
  <c r="F251" i="2"/>
  <c r="M250" i="2"/>
  <c r="J250" i="2"/>
  <c r="F250" i="2"/>
  <c r="M248" i="2"/>
  <c r="J248" i="2"/>
  <c r="F248" i="2"/>
  <c r="M247" i="2"/>
  <c r="J247" i="2"/>
  <c r="F247" i="2"/>
  <c r="M246" i="2"/>
  <c r="J246" i="2"/>
  <c r="F246" i="2"/>
  <c r="M245" i="2"/>
  <c r="J245" i="2"/>
  <c r="F245" i="2"/>
  <c r="M244" i="2"/>
  <c r="J244" i="2"/>
  <c r="F244" i="2"/>
  <c r="M243" i="2"/>
  <c r="J243" i="2"/>
  <c r="F243" i="2"/>
  <c r="M242" i="2"/>
  <c r="J242" i="2"/>
  <c r="F242" i="2"/>
  <c r="M241" i="2"/>
  <c r="J241" i="2"/>
  <c r="F241" i="2"/>
  <c r="M239" i="2"/>
  <c r="J239" i="2"/>
  <c r="F239" i="2"/>
  <c r="M238" i="2"/>
  <c r="J238" i="2"/>
  <c r="F238" i="2"/>
  <c r="M236" i="2"/>
  <c r="J236" i="2"/>
  <c r="F236" i="2"/>
  <c r="M235" i="2"/>
  <c r="J235" i="2"/>
  <c r="F235" i="2"/>
  <c r="M234" i="2"/>
  <c r="J234" i="2"/>
  <c r="F234" i="2"/>
  <c r="M233" i="2"/>
  <c r="J233" i="2"/>
  <c r="F233" i="2"/>
  <c r="M231" i="2"/>
  <c r="J231" i="2"/>
  <c r="F231" i="2"/>
  <c r="M230" i="2"/>
  <c r="J230" i="2"/>
  <c r="F230" i="2"/>
  <c r="M229" i="2"/>
  <c r="J229" i="2"/>
  <c r="F229" i="2"/>
  <c r="M228" i="2"/>
  <c r="J228" i="2"/>
  <c r="F228" i="2"/>
  <c r="M226" i="2"/>
  <c r="J226" i="2"/>
  <c r="F226" i="2"/>
  <c r="M225" i="2"/>
  <c r="J225" i="2"/>
  <c r="F225" i="2"/>
  <c r="M224" i="2"/>
  <c r="J224" i="2"/>
  <c r="F224" i="2"/>
  <c r="M223" i="2"/>
  <c r="J223" i="2"/>
  <c r="F223" i="2"/>
  <c r="M221" i="2"/>
  <c r="J221" i="2"/>
  <c r="F221" i="2"/>
  <c r="M220" i="2"/>
  <c r="J220" i="2"/>
  <c r="F220" i="2"/>
  <c r="M219" i="2"/>
  <c r="J219" i="2"/>
  <c r="F219" i="2"/>
  <c r="M217" i="2"/>
  <c r="J217" i="2"/>
  <c r="F217" i="2"/>
  <c r="M216" i="2"/>
  <c r="J216" i="2"/>
  <c r="F216" i="2"/>
  <c r="M215" i="2"/>
  <c r="J215" i="2"/>
  <c r="F215" i="2"/>
  <c r="M214" i="2"/>
  <c r="J214" i="2"/>
  <c r="F214" i="2"/>
  <c r="M212" i="2"/>
  <c r="J212" i="2"/>
  <c r="F212" i="2"/>
  <c r="M211" i="2"/>
  <c r="J211" i="2"/>
  <c r="F211" i="2"/>
  <c r="M210" i="2"/>
  <c r="J210" i="2"/>
  <c r="F210" i="2"/>
  <c r="M209" i="2"/>
  <c r="J209" i="2"/>
  <c r="F209" i="2"/>
  <c r="M208" i="2"/>
  <c r="J208" i="2"/>
  <c r="F208" i="2"/>
  <c r="M206" i="2"/>
  <c r="J206" i="2"/>
  <c r="F206" i="2"/>
  <c r="M205" i="2"/>
  <c r="J205" i="2"/>
  <c r="F205" i="2"/>
  <c r="M204" i="2"/>
  <c r="J204" i="2"/>
  <c r="F204" i="2"/>
  <c r="M203" i="2"/>
  <c r="J203" i="2"/>
  <c r="F203" i="2"/>
  <c r="M202" i="2"/>
  <c r="J202" i="2"/>
  <c r="F202" i="2"/>
  <c r="M201" i="2"/>
  <c r="J201" i="2"/>
  <c r="F201" i="2"/>
  <c r="M200" i="2"/>
  <c r="J200" i="2"/>
  <c r="F200" i="2"/>
  <c r="M199" i="2"/>
  <c r="J199" i="2"/>
  <c r="F199" i="2"/>
  <c r="M198" i="2"/>
  <c r="J198" i="2"/>
  <c r="F198" i="2"/>
  <c r="M197" i="2"/>
  <c r="J197" i="2"/>
  <c r="F197" i="2"/>
  <c r="M196" i="2"/>
  <c r="J196" i="2"/>
  <c r="F196" i="2"/>
  <c r="M194" i="2"/>
  <c r="J194" i="2"/>
  <c r="F194" i="2"/>
  <c r="M193" i="2"/>
  <c r="J193" i="2"/>
  <c r="F193" i="2"/>
  <c r="M192" i="2"/>
  <c r="J192" i="2"/>
  <c r="F192" i="2"/>
  <c r="M191" i="2"/>
  <c r="J191" i="2"/>
  <c r="F191" i="2"/>
  <c r="M189" i="2"/>
  <c r="J189" i="2"/>
  <c r="F189" i="2"/>
  <c r="M188" i="2"/>
  <c r="J188" i="2"/>
  <c r="F188" i="2"/>
  <c r="M187" i="2"/>
  <c r="J187" i="2"/>
  <c r="F187" i="2"/>
  <c r="M186" i="2"/>
  <c r="J186" i="2"/>
  <c r="F186" i="2"/>
  <c r="M185" i="2"/>
  <c r="J185" i="2"/>
  <c r="F185" i="2"/>
  <c r="M184" i="2"/>
  <c r="J184" i="2"/>
  <c r="F184" i="2"/>
  <c r="M183" i="2"/>
  <c r="J183" i="2"/>
  <c r="F183" i="2"/>
  <c r="M182" i="2"/>
  <c r="J182" i="2"/>
  <c r="F182" i="2"/>
  <c r="M180" i="2"/>
  <c r="J180" i="2"/>
  <c r="F180" i="2"/>
  <c r="M179" i="2"/>
  <c r="J179" i="2"/>
  <c r="F179" i="2"/>
  <c r="M178" i="2"/>
  <c r="J178" i="2"/>
  <c r="F178" i="2"/>
  <c r="M177" i="2"/>
  <c r="J177" i="2"/>
  <c r="F177" i="2"/>
  <c r="M176" i="2"/>
  <c r="J176" i="2"/>
  <c r="F176" i="2"/>
  <c r="M175" i="2"/>
  <c r="J175" i="2"/>
  <c r="F175" i="2"/>
  <c r="M174" i="2"/>
  <c r="J174" i="2"/>
  <c r="F174" i="2"/>
  <c r="M172" i="2"/>
  <c r="J172" i="2"/>
  <c r="F172" i="2"/>
  <c r="M171" i="2"/>
  <c r="J171" i="2"/>
  <c r="F171" i="2"/>
  <c r="M170" i="2"/>
  <c r="J170" i="2"/>
  <c r="F170" i="2"/>
  <c r="M169" i="2"/>
  <c r="J169" i="2"/>
  <c r="F169" i="2"/>
  <c r="M168" i="2"/>
  <c r="J168" i="2"/>
  <c r="F168" i="2"/>
  <c r="M167" i="2"/>
  <c r="J167" i="2"/>
  <c r="F167" i="2"/>
  <c r="M166" i="2"/>
  <c r="J166" i="2"/>
  <c r="F166" i="2"/>
  <c r="M165" i="2"/>
  <c r="J165" i="2"/>
  <c r="F165" i="2"/>
  <c r="M164" i="2"/>
  <c r="J164" i="2"/>
  <c r="F164" i="2"/>
  <c r="M163" i="2"/>
  <c r="J163" i="2"/>
  <c r="F163" i="2"/>
  <c r="M162" i="2"/>
  <c r="J162" i="2"/>
  <c r="F162" i="2"/>
  <c r="M161" i="2"/>
  <c r="J161" i="2"/>
  <c r="F161" i="2"/>
  <c r="M160" i="2"/>
  <c r="J160" i="2"/>
  <c r="F160" i="2"/>
  <c r="M158" i="2"/>
  <c r="J158" i="2"/>
  <c r="F158" i="2"/>
  <c r="M157" i="2"/>
  <c r="J157" i="2"/>
  <c r="F157" i="2"/>
  <c r="M156" i="2"/>
  <c r="J156" i="2"/>
  <c r="F156" i="2"/>
  <c r="M155" i="2"/>
  <c r="J155" i="2"/>
  <c r="F155" i="2"/>
  <c r="M154" i="2"/>
  <c r="J154" i="2"/>
  <c r="F154" i="2"/>
  <c r="M152" i="2"/>
  <c r="J152" i="2"/>
  <c r="F152" i="2"/>
  <c r="M151" i="2"/>
  <c r="J151" i="2"/>
  <c r="F151" i="2"/>
  <c r="M150" i="2"/>
  <c r="J150" i="2"/>
  <c r="F150" i="2"/>
  <c r="M148" i="2"/>
  <c r="J148" i="2"/>
  <c r="F148" i="2"/>
  <c r="M147" i="2"/>
  <c r="J147" i="2"/>
  <c r="F147" i="2"/>
  <c r="M145" i="2"/>
  <c r="J145" i="2"/>
  <c r="F145" i="2"/>
  <c r="M144" i="2"/>
  <c r="J144" i="2"/>
  <c r="F144" i="2"/>
  <c r="M142" i="2"/>
  <c r="J142" i="2"/>
  <c r="F142" i="2"/>
  <c r="M141" i="2"/>
  <c r="J141" i="2"/>
  <c r="F141" i="2"/>
  <c r="M140" i="2"/>
  <c r="J140" i="2"/>
  <c r="F140" i="2"/>
  <c r="M139" i="2"/>
  <c r="J139" i="2"/>
  <c r="F139" i="2"/>
  <c r="M137" i="2"/>
  <c r="J137" i="2"/>
  <c r="F137" i="2"/>
  <c r="M136" i="2"/>
  <c r="J136" i="2"/>
  <c r="F136" i="2"/>
  <c r="M134" i="2"/>
  <c r="J134" i="2"/>
  <c r="F134" i="2"/>
  <c r="M133" i="2"/>
  <c r="J133" i="2"/>
  <c r="F133" i="2"/>
  <c r="M132" i="2"/>
  <c r="J132" i="2"/>
  <c r="F132" i="2"/>
  <c r="M130" i="2"/>
  <c r="J130" i="2"/>
  <c r="F130" i="2"/>
  <c r="M129" i="2"/>
  <c r="J129" i="2"/>
  <c r="F129" i="2"/>
  <c r="M127" i="2"/>
  <c r="J127" i="2"/>
  <c r="F127" i="2"/>
  <c r="M126" i="2"/>
  <c r="J126" i="2"/>
  <c r="F126" i="2"/>
  <c r="M125" i="2"/>
  <c r="J125" i="2"/>
  <c r="F125" i="2"/>
  <c r="M124" i="2"/>
  <c r="J124" i="2"/>
  <c r="F124" i="2"/>
  <c r="M123" i="2"/>
  <c r="J123" i="2"/>
  <c r="F123" i="2"/>
  <c r="M122" i="2"/>
  <c r="J122" i="2"/>
  <c r="F122" i="2"/>
  <c r="M120" i="2"/>
  <c r="J120" i="2"/>
  <c r="F120" i="2"/>
  <c r="M119" i="2"/>
  <c r="J119" i="2"/>
  <c r="F119" i="2"/>
  <c r="M118" i="2"/>
  <c r="J118" i="2"/>
  <c r="F118" i="2"/>
  <c r="M116" i="2"/>
  <c r="J116" i="2"/>
  <c r="F116" i="2"/>
  <c r="M115" i="2"/>
  <c r="J115" i="2"/>
  <c r="F115" i="2"/>
  <c r="M114" i="2"/>
  <c r="J114" i="2"/>
  <c r="F114" i="2"/>
  <c r="M112" i="2"/>
  <c r="J112" i="2"/>
  <c r="F112" i="2"/>
  <c r="M111" i="2"/>
  <c r="J111" i="2"/>
  <c r="F111" i="2"/>
  <c r="M110" i="2"/>
  <c r="J110" i="2"/>
  <c r="F110" i="2"/>
  <c r="M109" i="2"/>
  <c r="J109" i="2"/>
  <c r="F109" i="2"/>
  <c r="M108" i="2"/>
  <c r="J108" i="2"/>
  <c r="F108" i="2"/>
  <c r="M107" i="2"/>
  <c r="J107" i="2"/>
  <c r="F107" i="2"/>
  <c r="M106" i="2"/>
  <c r="J106" i="2"/>
  <c r="F106" i="2"/>
  <c r="M105" i="2"/>
  <c r="J105" i="2"/>
  <c r="F105" i="2"/>
  <c r="M104" i="2"/>
  <c r="J104" i="2"/>
  <c r="F104" i="2"/>
  <c r="M103" i="2"/>
  <c r="J103" i="2"/>
  <c r="F103" i="2"/>
  <c r="M102" i="2"/>
  <c r="J102" i="2"/>
  <c r="F102" i="2"/>
  <c r="M101" i="2"/>
  <c r="J101" i="2"/>
  <c r="F101" i="2"/>
  <c r="M100" i="2"/>
  <c r="J100" i="2"/>
  <c r="F100" i="2"/>
  <c r="M99" i="2"/>
  <c r="J99" i="2"/>
  <c r="F99" i="2"/>
  <c r="M97" i="2"/>
  <c r="J97" i="2"/>
  <c r="F97" i="2"/>
  <c r="M96" i="2"/>
  <c r="J96" i="2"/>
  <c r="F96" i="2"/>
  <c r="M95" i="2"/>
  <c r="J95" i="2"/>
  <c r="F95" i="2"/>
  <c r="M94" i="2"/>
  <c r="J94" i="2"/>
  <c r="F94" i="2"/>
  <c r="M92" i="2"/>
  <c r="J92" i="2"/>
  <c r="F92" i="2"/>
  <c r="M91" i="2"/>
  <c r="J91" i="2"/>
  <c r="F91" i="2"/>
  <c r="M90" i="2"/>
  <c r="J90" i="2"/>
  <c r="F90" i="2"/>
  <c r="M88" i="2"/>
  <c r="J88" i="2"/>
  <c r="F88" i="2"/>
  <c r="M87" i="2"/>
  <c r="J87" i="2"/>
  <c r="F87" i="2"/>
  <c r="M86" i="2"/>
  <c r="J86" i="2"/>
  <c r="F86" i="2"/>
  <c r="M85" i="2"/>
  <c r="J85" i="2"/>
  <c r="F85" i="2"/>
  <c r="M84" i="2"/>
  <c r="J84" i="2"/>
  <c r="F84" i="2"/>
  <c r="M83" i="2"/>
  <c r="J83" i="2"/>
  <c r="F83" i="2"/>
  <c r="M82" i="2"/>
  <c r="J82" i="2"/>
  <c r="F82" i="2"/>
  <c r="M81" i="2"/>
  <c r="J81" i="2"/>
  <c r="F81" i="2"/>
  <c r="M80" i="2"/>
  <c r="J80" i="2"/>
  <c r="F80" i="2"/>
  <c r="M79" i="2"/>
  <c r="J79" i="2"/>
  <c r="F79" i="2"/>
  <c r="M77" i="2"/>
  <c r="J77" i="2"/>
  <c r="F77" i="2"/>
  <c r="M76" i="2"/>
  <c r="J76" i="2"/>
  <c r="F76" i="2"/>
  <c r="M75" i="2"/>
  <c r="J75" i="2"/>
  <c r="F75" i="2"/>
  <c r="M74" i="2"/>
  <c r="J74" i="2"/>
  <c r="F74" i="2"/>
  <c r="M73" i="2"/>
  <c r="J73" i="2"/>
  <c r="F73" i="2"/>
  <c r="M72" i="2"/>
  <c r="J72" i="2"/>
  <c r="F72" i="2"/>
  <c r="M70" i="2"/>
  <c r="J70" i="2"/>
  <c r="F70" i="2"/>
  <c r="M69" i="2"/>
  <c r="J69" i="2"/>
  <c r="F69" i="2"/>
  <c r="M68" i="2"/>
  <c r="J68" i="2"/>
  <c r="F68" i="2"/>
  <c r="M67" i="2"/>
  <c r="J67" i="2"/>
  <c r="F67" i="2"/>
  <c r="M66" i="2"/>
  <c r="J66" i="2"/>
  <c r="F66" i="2"/>
  <c r="M65" i="2"/>
  <c r="J65" i="2"/>
  <c r="F65" i="2"/>
  <c r="M64" i="2"/>
  <c r="J64" i="2"/>
  <c r="F64" i="2"/>
  <c r="M63" i="2"/>
  <c r="J63" i="2"/>
  <c r="F63" i="2"/>
  <c r="M61" i="2"/>
  <c r="J61" i="2"/>
  <c r="F61" i="2"/>
  <c r="M60" i="2"/>
  <c r="J60" i="2"/>
  <c r="F60" i="2"/>
  <c r="M59" i="2"/>
  <c r="J59" i="2"/>
  <c r="F59" i="2"/>
  <c r="M57" i="2"/>
  <c r="J57" i="2"/>
  <c r="F57" i="2"/>
  <c r="M56" i="2"/>
  <c r="J56" i="2"/>
  <c r="F56" i="2"/>
  <c r="M55" i="2"/>
  <c r="J55" i="2"/>
  <c r="F55" i="2"/>
  <c r="M54" i="2"/>
  <c r="J54" i="2"/>
  <c r="F54" i="2"/>
  <c r="M53" i="2"/>
  <c r="J53" i="2"/>
  <c r="F53" i="2"/>
  <c r="M51" i="2"/>
  <c r="J51" i="2"/>
  <c r="F51" i="2"/>
  <c r="M50" i="2"/>
  <c r="J50" i="2"/>
  <c r="F50" i="2"/>
  <c r="M49" i="2"/>
  <c r="J49" i="2"/>
  <c r="F49" i="2"/>
  <c r="M48" i="2"/>
  <c r="J48" i="2"/>
  <c r="F48" i="2"/>
  <c r="M47" i="2"/>
  <c r="J47" i="2"/>
  <c r="F47" i="2"/>
  <c r="M46" i="2"/>
  <c r="J46" i="2"/>
  <c r="F46" i="2"/>
  <c r="M45" i="2"/>
  <c r="J45" i="2"/>
  <c r="F45" i="2"/>
  <c r="M43" i="2"/>
  <c r="J43" i="2"/>
  <c r="F43" i="2"/>
  <c r="M42" i="2"/>
  <c r="J42" i="2"/>
  <c r="F42" i="2"/>
  <c r="M41" i="2"/>
  <c r="J41" i="2"/>
  <c r="F41" i="2"/>
  <c r="M40" i="2"/>
  <c r="J40" i="2"/>
  <c r="F40" i="2"/>
  <c r="M39" i="2"/>
  <c r="J39" i="2"/>
  <c r="F39" i="2"/>
  <c r="M37" i="2"/>
  <c r="J37" i="2"/>
  <c r="F37" i="2"/>
  <c r="M36" i="2"/>
  <c r="J36" i="2"/>
  <c r="F36" i="2"/>
  <c r="M35" i="2"/>
  <c r="J35" i="2"/>
  <c r="F35" i="2"/>
  <c r="M33" i="2"/>
  <c r="J33" i="2"/>
  <c r="F33" i="2"/>
  <c r="M32" i="2"/>
  <c r="J32" i="2"/>
  <c r="F32" i="2"/>
  <c r="M31" i="2"/>
  <c r="J31" i="2"/>
  <c r="F31" i="2"/>
  <c r="M30" i="2"/>
  <c r="J30" i="2"/>
  <c r="F30" i="2"/>
  <c r="M29" i="2"/>
  <c r="J29" i="2"/>
  <c r="F29" i="2"/>
  <c r="M28" i="2"/>
  <c r="J28" i="2"/>
  <c r="F28" i="2"/>
  <c r="M27" i="2"/>
  <c r="J27" i="2"/>
  <c r="F27" i="2"/>
  <c r="M26" i="2"/>
  <c r="J26" i="2"/>
  <c r="F26" i="2"/>
  <c r="M25" i="2"/>
  <c r="J25" i="2"/>
  <c r="F25" i="2"/>
  <c r="M24" i="2"/>
  <c r="J24" i="2"/>
  <c r="F24" i="2"/>
  <c r="M22" i="2"/>
  <c r="J22" i="2"/>
  <c r="F22" i="2"/>
  <c r="M21" i="2"/>
  <c r="J21" i="2"/>
  <c r="F21" i="2"/>
  <c r="M19" i="2"/>
  <c r="J19" i="2"/>
  <c r="F19" i="2"/>
  <c r="M18" i="2"/>
  <c r="J18" i="2"/>
  <c r="F18" i="2"/>
  <c r="M16" i="2"/>
  <c r="J16" i="2"/>
  <c r="F16" i="2"/>
  <c r="M15" i="2"/>
  <c r="J15" i="2"/>
  <c r="F15" i="2"/>
  <c r="M14" i="2"/>
  <c r="J14" i="2"/>
  <c r="F14" i="2"/>
  <c r="M13" i="2"/>
  <c r="J13" i="2"/>
  <c r="F13" i="2"/>
  <c r="M11" i="2"/>
  <c r="J11" i="2"/>
  <c r="F11" i="2"/>
  <c r="M10" i="2"/>
  <c r="J10" i="2"/>
  <c r="F10" i="2"/>
  <c r="M9" i="2"/>
  <c r="J9" i="2"/>
  <c r="F9" i="2"/>
  <c r="M7" i="2"/>
  <c r="J7" i="2"/>
  <c r="F7" i="2"/>
  <c r="M6" i="2"/>
  <c r="J6" i="2"/>
  <c r="F6" i="2"/>
  <c r="M4" i="2"/>
  <c r="J4" i="2"/>
  <c r="F4" i="2"/>
  <c r="M3" i="2"/>
  <c r="J3" i="2"/>
  <c r="F3" i="2"/>
  <c r="M2" i="2"/>
  <c r="J2" i="2"/>
  <c r="F2" i="2"/>
  <c r="N517" i="2" l="1"/>
  <c r="O517" i="2" s="1"/>
  <c r="N522" i="2"/>
  <c r="O522" i="2" s="1"/>
  <c r="N530" i="2"/>
  <c r="O530" i="2" s="1"/>
  <c r="N516" i="2"/>
  <c r="O516" i="2" s="1"/>
  <c r="N358" i="2"/>
  <c r="O358" i="2" s="1"/>
  <c r="N364" i="2"/>
  <c r="O364" i="2" s="1"/>
  <c r="N368" i="2"/>
  <c r="O368" i="2" s="1"/>
  <c r="N377" i="2"/>
  <c r="O377" i="2" s="1"/>
  <c r="N396" i="2"/>
  <c r="O396" i="2" s="1"/>
  <c r="N406" i="2"/>
  <c r="O406" i="2" s="1"/>
  <c r="N341" i="2"/>
  <c r="O341" i="2" s="1"/>
  <c r="N345" i="2"/>
  <c r="O345" i="2" s="1"/>
  <c r="N499" i="2"/>
  <c r="O499" i="2" s="1"/>
  <c r="N511" i="2"/>
  <c r="O511" i="2" s="1"/>
  <c r="N490" i="2"/>
  <c r="O490" i="2" s="1"/>
  <c r="N416" i="2"/>
  <c r="O416" i="2" s="1"/>
  <c r="N431" i="2"/>
  <c r="O431" i="2" s="1"/>
  <c r="N439" i="2"/>
  <c r="O439" i="2" s="1"/>
  <c r="N447" i="2"/>
  <c r="O447" i="2" s="1"/>
  <c r="N451" i="2"/>
  <c r="O451" i="2" s="1"/>
  <c r="N459" i="2"/>
  <c r="O459" i="2" s="1"/>
  <c r="N464" i="2"/>
  <c r="O464" i="2" s="1"/>
  <c r="N469" i="2"/>
  <c r="O469" i="2" s="1"/>
  <c r="N520" i="2"/>
  <c r="O520" i="2" s="1"/>
  <c r="N524" i="2"/>
  <c r="O524" i="2" s="1"/>
  <c r="N528" i="2"/>
  <c r="O528" i="2" s="1"/>
  <c r="N115" i="2"/>
  <c r="O115" i="2" s="1"/>
  <c r="N315" i="2"/>
  <c r="O315" i="2" s="1"/>
  <c r="N335" i="2"/>
  <c r="O335" i="2" s="1"/>
  <c r="N339" i="2"/>
  <c r="O339" i="2" s="1"/>
  <c r="N503" i="2"/>
  <c r="O503" i="2" s="1"/>
  <c r="N515" i="2"/>
  <c r="O515" i="2" s="1"/>
  <c r="N303" i="2"/>
  <c r="O303" i="2" s="1"/>
  <c r="N492" i="2"/>
  <c r="O492" i="2" s="1"/>
  <c r="N387" i="2"/>
  <c r="O387" i="2" s="1"/>
  <c r="N60" i="2"/>
  <c r="O60" i="2" s="1"/>
  <c r="N74" i="2"/>
  <c r="O74" i="2" s="1"/>
  <c r="N87" i="2"/>
  <c r="O87" i="2" s="1"/>
  <c r="N102" i="2"/>
  <c r="O102" i="2" s="1"/>
  <c r="N21" i="2"/>
  <c r="O21" i="2" s="1"/>
  <c r="N35" i="2"/>
  <c r="O35" i="2" s="1"/>
  <c r="N64" i="2"/>
  <c r="O64" i="2" s="1"/>
  <c r="N73" i="2"/>
  <c r="O73" i="2" s="1"/>
  <c r="N86" i="2"/>
  <c r="O86" i="2" s="1"/>
  <c r="N91" i="2"/>
  <c r="O91" i="2" s="1"/>
  <c r="N101" i="2"/>
  <c r="O101" i="2" s="1"/>
  <c r="N10" i="2"/>
  <c r="O10" i="2" s="1"/>
  <c r="N15" i="2"/>
  <c r="O15" i="2" s="1"/>
  <c r="N26" i="2"/>
  <c r="O26" i="2" s="1"/>
  <c r="N30" i="2"/>
  <c r="O30" i="2" s="1"/>
  <c r="N68" i="2"/>
  <c r="O68" i="2" s="1"/>
  <c r="N96" i="2"/>
  <c r="O96" i="2" s="1"/>
  <c r="N110" i="2"/>
  <c r="O110" i="2" s="1"/>
  <c r="N32" i="2"/>
  <c r="O32" i="2" s="1"/>
  <c r="N122" i="2"/>
  <c r="O122" i="2" s="1"/>
  <c r="N132" i="2"/>
  <c r="O132" i="2" s="1"/>
  <c r="N154" i="2"/>
  <c r="N171" i="2"/>
  <c r="O171" i="2" s="1"/>
  <c r="N185" i="2"/>
  <c r="O185" i="2" s="1"/>
  <c r="N194" i="2"/>
  <c r="O194" i="2" s="1"/>
  <c r="N199" i="2"/>
  <c r="O199" i="2" s="1"/>
  <c r="N208" i="2"/>
  <c r="O208" i="2" s="1"/>
  <c r="N212" i="2"/>
  <c r="O212" i="2" s="1"/>
  <c r="N223" i="2"/>
  <c r="O223" i="2" s="1"/>
  <c r="N238" i="2"/>
  <c r="O238" i="2" s="1"/>
  <c r="N243" i="2"/>
  <c r="O243" i="2" s="1"/>
  <c r="N252" i="2"/>
  <c r="O252" i="2" s="1"/>
  <c r="N375" i="2"/>
  <c r="O375" i="2" s="1"/>
  <c r="N395" i="2"/>
  <c r="O395" i="2" s="1"/>
  <c r="N405" i="2"/>
  <c r="O405" i="2" s="1"/>
  <c r="N415" i="2"/>
  <c r="O415" i="2" s="1"/>
  <c r="N421" i="2"/>
  <c r="O421" i="2" s="1"/>
  <c r="N442" i="2"/>
  <c r="O442" i="2" s="1"/>
  <c r="N446" i="2"/>
  <c r="O446" i="2" s="1"/>
  <c r="N450" i="2"/>
  <c r="O450" i="2" s="1"/>
  <c r="N458" i="2"/>
  <c r="O458" i="2" s="1"/>
  <c r="N484" i="2"/>
  <c r="O484" i="2" s="1"/>
  <c r="N344" i="2"/>
  <c r="O344" i="2" s="1"/>
  <c r="N280" i="2"/>
  <c r="O280" i="2" s="1"/>
  <c r="N284" i="2"/>
  <c r="O284" i="2" s="1"/>
  <c r="N295" i="2"/>
  <c r="O295" i="2" s="1"/>
  <c r="N275" i="2"/>
  <c r="O275" i="2" s="1"/>
  <c r="N306" i="2"/>
  <c r="O306" i="2" s="1"/>
  <c r="N310" i="2"/>
  <c r="O310" i="2" s="1"/>
  <c r="N333" i="2"/>
  <c r="O333" i="2" s="1"/>
  <c r="N338" i="2"/>
  <c r="O338" i="2" s="1"/>
  <c r="N497" i="2"/>
  <c r="O497" i="2" s="1"/>
  <c r="N502" i="2"/>
  <c r="O502" i="2" s="1"/>
  <c r="N508" i="2"/>
  <c r="O508" i="2" s="1"/>
  <c r="N513" i="2"/>
  <c r="O513" i="2" s="1"/>
  <c r="N9" i="2"/>
  <c r="O9" i="2" s="1"/>
  <c r="N39" i="2"/>
  <c r="O39" i="2" s="1"/>
  <c r="N48" i="2"/>
  <c r="O48" i="2" s="1"/>
  <c r="N53" i="2"/>
  <c r="O53" i="2" s="1"/>
  <c r="N67" i="2"/>
  <c r="O67" i="2" s="1"/>
  <c r="N76" i="2"/>
  <c r="O76" i="2" s="1"/>
  <c r="N95" i="2"/>
  <c r="O95" i="2" s="1"/>
  <c r="N104" i="2"/>
  <c r="O104" i="2" s="1"/>
  <c r="N108" i="2"/>
  <c r="O108" i="2" s="1"/>
  <c r="N259" i="2"/>
  <c r="O259" i="2" s="1"/>
  <c r="N269" i="2"/>
  <c r="O269" i="2" s="1"/>
  <c r="N294" i="2"/>
  <c r="O294" i="2" s="1"/>
  <c r="N298" i="2"/>
  <c r="O298" i="2" s="1"/>
  <c r="N521" i="2"/>
  <c r="O521" i="2" s="1"/>
  <c r="N525" i="2"/>
  <c r="O525" i="2" s="1"/>
  <c r="N529" i="2"/>
  <c r="O529" i="2" s="1"/>
  <c r="N127" i="2"/>
  <c r="O127" i="2" s="1"/>
  <c r="N201" i="2"/>
  <c r="O201" i="2" s="1"/>
  <c r="N205" i="2"/>
  <c r="O205" i="2" s="1"/>
  <c r="N261" i="2"/>
  <c r="O261" i="2" s="1"/>
  <c r="N272" i="2"/>
  <c r="O272" i="2" s="1"/>
  <c r="N277" i="2"/>
  <c r="O277" i="2" s="1"/>
  <c r="N41" i="2"/>
  <c r="O41" i="2" s="1"/>
  <c r="N498" i="2"/>
  <c r="O498" i="2" s="1"/>
  <c r="N309" i="2"/>
  <c r="O309" i="2" s="1"/>
  <c r="N317" i="2"/>
  <c r="O317" i="2" s="1"/>
  <c r="N322" i="2"/>
  <c r="O322" i="2" s="1"/>
  <c r="N327" i="2"/>
  <c r="O327" i="2" s="1"/>
  <c r="N347" i="2"/>
  <c r="O347" i="2" s="1"/>
  <c r="N352" i="2"/>
  <c r="O352" i="2" s="1"/>
  <c r="N467" i="2"/>
  <c r="O467" i="2" s="1"/>
  <c r="N488" i="2"/>
  <c r="O488" i="2" s="1"/>
  <c r="N500" i="2"/>
  <c r="O500" i="2" s="1"/>
  <c r="N506" i="2"/>
  <c r="O506" i="2" s="1"/>
  <c r="N66" i="2"/>
  <c r="O66" i="2" s="1"/>
  <c r="N75" i="2"/>
  <c r="O75" i="2" s="1"/>
  <c r="N80" i="2"/>
  <c r="O80" i="2" s="1"/>
  <c r="N88" i="2"/>
  <c r="O88" i="2" s="1"/>
  <c r="N94" i="2"/>
  <c r="O94" i="2" s="1"/>
  <c r="N193" i="2"/>
  <c r="O193" i="2" s="1"/>
  <c r="N251" i="2"/>
  <c r="O251" i="2" s="1"/>
  <c r="N262" i="2"/>
  <c r="O262" i="2" s="1"/>
  <c r="N278" i="2"/>
  <c r="O278" i="2" s="1"/>
  <c r="N292" i="2"/>
  <c r="O292" i="2" s="1"/>
  <c r="N489" i="2"/>
  <c r="O489" i="2" s="1"/>
  <c r="N495" i="2"/>
  <c r="O495" i="2" s="1"/>
  <c r="N390" i="2"/>
  <c r="O390" i="2" s="1"/>
  <c r="N400" i="2"/>
  <c r="O400" i="2" s="1"/>
  <c r="N72" i="2"/>
  <c r="O72" i="2" s="1"/>
  <c r="N85" i="2"/>
  <c r="O85" i="2" s="1"/>
  <c r="N123" i="2"/>
  <c r="O123" i="2" s="1"/>
  <c r="N133" i="2"/>
  <c r="O133" i="2" s="1"/>
  <c r="N139" i="2"/>
  <c r="O139" i="2" s="1"/>
  <c r="N155" i="2"/>
  <c r="N160" i="2"/>
  <c r="O160" i="2" s="1"/>
  <c r="N172" i="2"/>
  <c r="O172" i="2" s="1"/>
  <c r="N177" i="2"/>
  <c r="O177" i="2" s="1"/>
  <c r="N186" i="2"/>
  <c r="O186" i="2" s="1"/>
  <c r="N200" i="2"/>
  <c r="O200" i="2" s="1"/>
  <c r="N204" i="2"/>
  <c r="O204" i="2" s="1"/>
  <c r="N229" i="2"/>
  <c r="O229" i="2" s="1"/>
  <c r="N234" i="2"/>
  <c r="O234" i="2" s="1"/>
  <c r="N244" i="2"/>
  <c r="O244" i="2" s="1"/>
  <c r="N283" i="2"/>
  <c r="O283" i="2" s="1"/>
  <c r="N362" i="2"/>
  <c r="O362" i="2" s="1"/>
  <c r="N434" i="2"/>
  <c r="O434" i="2" s="1"/>
  <c r="N342" i="2"/>
  <c r="O342" i="2" s="1"/>
  <c r="N279" i="2"/>
  <c r="O279" i="2" s="1"/>
  <c r="N107" i="2"/>
  <c r="O107" i="2" s="1"/>
  <c r="N297" i="2"/>
  <c r="O297" i="2" s="1"/>
  <c r="N148" i="2"/>
  <c r="O148" i="2" s="1"/>
  <c r="N411" i="2"/>
  <c r="O411" i="2" s="1"/>
  <c r="N427" i="2"/>
  <c r="O427" i="2" s="1"/>
  <c r="N512" i="2"/>
  <c r="O512" i="2" s="1"/>
  <c r="N119" i="2"/>
  <c r="O119" i="2" s="1"/>
  <c r="N124" i="2"/>
  <c r="O124" i="2" s="1"/>
  <c r="N129" i="2"/>
  <c r="O129" i="2" s="1"/>
  <c r="N161" i="2"/>
  <c r="O161" i="2" s="1"/>
  <c r="N165" i="2"/>
  <c r="O165" i="2" s="1"/>
  <c r="N169" i="2"/>
  <c r="O169" i="2" s="1"/>
  <c r="N178" i="2"/>
  <c r="O178" i="2" s="1"/>
  <c r="N183" i="2"/>
  <c r="O183" i="2" s="1"/>
  <c r="N215" i="2"/>
  <c r="O215" i="2" s="1"/>
  <c r="N220" i="2"/>
  <c r="O220" i="2" s="1"/>
  <c r="N225" i="2"/>
  <c r="O225" i="2" s="1"/>
  <c r="N235" i="2"/>
  <c r="O235" i="2" s="1"/>
  <c r="N270" i="2"/>
  <c r="O270" i="2" s="1"/>
  <c r="N311" i="2"/>
  <c r="O311" i="2" s="1"/>
  <c r="N329" i="2"/>
  <c r="O329" i="2" s="1"/>
  <c r="N485" i="2"/>
  <c r="O485" i="2" s="1"/>
  <c r="N505" i="2"/>
  <c r="O505" i="2" s="1"/>
  <c r="N16" i="2"/>
  <c r="O16" i="2" s="1"/>
  <c r="N31" i="2"/>
  <c r="O31" i="2" s="1"/>
  <c r="N46" i="2"/>
  <c r="O46" i="2" s="1"/>
  <c r="N192" i="2"/>
  <c r="O192" i="2" s="1"/>
  <c r="N241" i="2"/>
  <c r="O241" i="2" s="1"/>
  <c r="N250" i="2"/>
  <c r="O250" i="2" s="1"/>
  <c r="N369" i="2"/>
  <c r="O369" i="2" s="1"/>
  <c r="N392" i="2"/>
  <c r="O392" i="2" s="1"/>
  <c r="N403" i="2"/>
  <c r="O403" i="2" s="1"/>
  <c r="N407" i="2"/>
  <c r="O407" i="2" s="1"/>
  <c r="N423" i="2"/>
  <c r="O423" i="2" s="1"/>
  <c r="N428" i="2"/>
  <c r="O428" i="2" s="1"/>
  <c r="N440" i="2"/>
  <c r="O440" i="2" s="1"/>
  <c r="N456" i="2"/>
  <c r="O456" i="2" s="1"/>
  <c r="N460" i="2"/>
  <c r="O460" i="2" s="1"/>
  <c r="N465" i="2"/>
  <c r="O465" i="2" s="1"/>
  <c r="N486" i="2"/>
  <c r="O486" i="2" s="1"/>
  <c r="N491" i="2"/>
  <c r="O491" i="2" s="1"/>
  <c r="N163" i="2"/>
  <c r="O163" i="2" s="1"/>
  <c r="N526" i="2"/>
  <c r="O526" i="2" s="1"/>
  <c r="N445" i="2"/>
  <c r="O445" i="2" s="1"/>
  <c r="N106" i="2"/>
  <c r="O106" i="2" s="1"/>
  <c r="N130" i="2"/>
  <c r="O130" i="2" s="1"/>
  <c r="N147" i="2"/>
  <c r="O147" i="2" s="1"/>
  <c r="N152" i="2"/>
  <c r="O152" i="2" s="1"/>
  <c r="N166" i="2"/>
  <c r="O166" i="2" s="1"/>
  <c r="N170" i="2"/>
  <c r="O170" i="2" s="1"/>
  <c r="N206" i="2"/>
  <c r="O206" i="2" s="1"/>
  <c r="N221" i="2"/>
  <c r="O221" i="2" s="1"/>
  <c r="N398" i="2"/>
  <c r="O398" i="2" s="1"/>
  <c r="N518" i="2"/>
  <c r="O518" i="2" s="1"/>
  <c r="N523" i="2"/>
  <c r="O523" i="2" s="1"/>
  <c r="N527" i="2"/>
  <c r="O527" i="2" s="1"/>
  <c r="N494" i="2"/>
  <c r="O494" i="2" s="1"/>
  <c r="N7" i="2"/>
  <c r="O7" i="2" s="1"/>
  <c r="N18" i="2"/>
  <c r="O18" i="2" s="1"/>
  <c r="N37" i="2"/>
  <c r="O37" i="2" s="1"/>
  <c r="N47" i="2"/>
  <c r="O47" i="2" s="1"/>
  <c r="N198" i="2"/>
  <c r="O198" i="2" s="1"/>
  <c r="N226" i="2"/>
  <c r="O226" i="2" s="1"/>
  <c r="N257" i="2"/>
  <c r="O257" i="2" s="1"/>
  <c r="N356" i="2"/>
  <c r="O356" i="2" s="1"/>
  <c r="N361" i="2"/>
  <c r="O361" i="2" s="1"/>
  <c r="N379" i="2"/>
  <c r="O379" i="2" s="1"/>
  <c r="N384" i="2"/>
  <c r="O384" i="2" s="1"/>
  <c r="N388" i="2"/>
  <c r="O388" i="2" s="1"/>
  <c r="N393" i="2"/>
  <c r="O393" i="2" s="1"/>
  <c r="N404" i="2"/>
  <c r="O404" i="2" s="1"/>
  <c r="N414" i="2"/>
  <c r="O414" i="2" s="1"/>
  <c r="N429" i="2"/>
  <c r="O429" i="2" s="1"/>
  <c r="N433" i="2"/>
  <c r="O433" i="2" s="1"/>
  <c r="N449" i="2"/>
  <c r="O449" i="2" s="1"/>
  <c r="N457" i="2"/>
  <c r="O457" i="2" s="1"/>
  <c r="N472" i="2"/>
  <c r="O472" i="2" s="1"/>
  <c r="N493" i="2"/>
  <c r="O493" i="2" s="1"/>
  <c r="N509" i="2"/>
  <c r="O509" i="2" s="1"/>
  <c r="N453" i="2"/>
  <c r="O453" i="2" s="1"/>
  <c r="N320" i="2"/>
  <c r="O320" i="2" s="1"/>
  <c r="N409" i="2"/>
  <c r="O409" i="2" s="1"/>
  <c r="N116" i="2"/>
  <c r="O116" i="2" s="1"/>
  <c r="N418" i="2"/>
  <c r="O418" i="2" s="1"/>
  <c r="N174" i="2"/>
  <c r="O174" i="2" s="1"/>
  <c r="N191" i="2"/>
  <c r="O191" i="2" s="1"/>
  <c r="N248" i="2"/>
  <c r="O248" i="2" s="1"/>
  <c r="N2" i="2"/>
  <c r="O2" i="2" s="1"/>
  <c r="N22" i="2"/>
  <c r="O22" i="2" s="1"/>
  <c r="N40" i="2"/>
  <c r="O40" i="2" s="1"/>
  <c r="N45" i="2"/>
  <c r="O45" i="2" s="1"/>
  <c r="N105" i="2"/>
  <c r="O105" i="2" s="1"/>
  <c r="N157" i="2"/>
  <c r="O157" i="2" s="1"/>
  <c r="N203" i="2"/>
  <c r="O203" i="2" s="1"/>
  <c r="N230" i="2"/>
  <c r="O230" i="2" s="1"/>
  <c r="N254" i="2"/>
  <c r="O254" i="2" s="1"/>
  <c r="N268" i="2"/>
  <c r="O268" i="2" s="1"/>
  <c r="N289" i="2"/>
  <c r="O289" i="2" s="1"/>
  <c r="N299" i="2"/>
  <c r="O299" i="2" s="1"/>
  <c r="N318" i="2"/>
  <c r="O318" i="2" s="1"/>
  <c r="N331" i="2"/>
  <c r="O331" i="2" s="1"/>
  <c r="N336" i="2"/>
  <c r="O336" i="2" s="1"/>
  <c r="N365" i="2"/>
  <c r="O365" i="2" s="1"/>
  <c r="N385" i="2"/>
  <c r="O385" i="2" s="1"/>
  <c r="N419" i="2"/>
  <c r="O419" i="2" s="1"/>
  <c r="N435" i="2"/>
  <c r="O435" i="2" s="1"/>
  <c r="N11" i="2"/>
  <c r="O11" i="2" s="1"/>
  <c r="N112" i="2"/>
  <c r="O112" i="2" s="1"/>
  <c r="N239" i="2"/>
  <c r="O239" i="2" s="1"/>
  <c r="N36" i="2"/>
  <c r="O36" i="2" s="1"/>
  <c r="N49" i="2"/>
  <c r="O49" i="2" s="1"/>
  <c r="N54" i="2"/>
  <c r="O54" i="2" s="1"/>
  <c r="N59" i="2"/>
  <c r="O59" i="2" s="1"/>
  <c r="N109" i="2"/>
  <c r="O109" i="2" s="1"/>
  <c r="N137" i="2"/>
  <c r="O137" i="2" s="1"/>
  <c r="N158" i="2"/>
  <c r="O158" i="2" s="1"/>
  <c r="N187" i="2"/>
  <c r="O187" i="2" s="1"/>
  <c r="N211" i="2"/>
  <c r="O211" i="2" s="1"/>
  <c r="N245" i="2"/>
  <c r="O245" i="2" s="1"/>
  <c r="N273" i="2"/>
  <c r="O273" i="2" s="1"/>
  <c r="N286" i="2"/>
  <c r="O286" i="2" s="1"/>
  <c r="N314" i="2"/>
  <c r="O314" i="2" s="1"/>
  <c r="N323" i="2"/>
  <c r="O323" i="2" s="1"/>
  <c r="N332" i="2"/>
  <c r="O332" i="2" s="1"/>
  <c r="N337" i="2"/>
  <c r="O337" i="2" s="1"/>
  <c r="N355" i="2"/>
  <c r="O355" i="2" s="1"/>
  <c r="N359" i="2"/>
  <c r="O359" i="2" s="1"/>
  <c r="N432" i="2"/>
  <c r="O432" i="2" s="1"/>
  <c r="N436" i="2"/>
  <c r="O436" i="2" s="1"/>
  <c r="N471" i="2"/>
  <c r="O471" i="2" s="1"/>
  <c r="N247" i="2"/>
  <c r="O247" i="2" s="1"/>
  <c r="N61" i="2"/>
  <c r="O61" i="2" s="1"/>
  <c r="N313" i="2"/>
  <c r="O313" i="2" s="1"/>
  <c r="N371" i="2"/>
  <c r="O371" i="2" s="1"/>
  <c r="N425" i="2"/>
  <c r="O425" i="2" s="1"/>
  <c r="N69" i="2"/>
  <c r="O69" i="2" s="1"/>
  <c r="N189" i="2"/>
  <c r="O189" i="2" s="1"/>
  <c r="N79" i="2"/>
  <c r="O79" i="2" s="1"/>
  <c r="N136" i="2"/>
  <c r="O136" i="2" s="1"/>
  <c r="N43" i="2"/>
  <c r="O43" i="2" s="1"/>
  <c r="N182" i="2"/>
  <c r="O182" i="2" s="1"/>
  <c r="N81" i="2"/>
  <c r="O81" i="2" s="1"/>
  <c r="N97" i="2"/>
  <c r="O97" i="2" s="1"/>
  <c r="N144" i="2"/>
  <c r="O144" i="2" s="1"/>
  <c r="N167" i="2"/>
  <c r="O167" i="2" s="1"/>
  <c r="N197" i="2"/>
  <c r="O197" i="2" s="1"/>
  <c r="N217" i="2"/>
  <c r="O217" i="2" s="1"/>
  <c r="N255" i="2"/>
  <c r="O255" i="2" s="1"/>
  <c r="N282" i="2"/>
  <c r="O282" i="2" s="1"/>
  <c r="N296" i="2"/>
  <c r="O296" i="2" s="1"/>
  <c r="N300" i="2"/>
  <c r="O300" i="2" s="1"/>
  <c r="N304" i="2"/>
  <c r="O304" i="2" s="1"/>
  <c r="N328" i="2"/>
  <c r="O328" i="2" s="1"/>
  <c r="N366" i="2"/>
  <c r="O366" i="2" s="1"/>
  <c r="N373" i="2"/>
  <c r="O373" i="2" s="1"/>
  <c r="N399" i="2"/>
  <c r="O399" i="2" s="1"/>
  <c r="N454" i="2"/>
  <c r="O454" i="2" s="1"/>
  <c r="N462" i="2"/>
  <c r="O462" i="2" s="1"/>
  <c r="N125" i="2"/>
  <c r="O125" i="2" s="1"/>
  <c r="N51" i="2"/>
  <c r="O51" i="2" s="1"/>
  <c r="N100" i="2"/>
  <c r="O100" i="2" s="1"/>
  <c r="N210" i="2"/>
  <c r="O210" i="2" s="1"/>
  <c r="N452" i="2"/>
  <c r="O452" i="2" s="1"/>
  <c r="N57" i="2"/>
  <c r="O57" i="2" s="1"/>
  <c r="N24" i="2"/>
  <c r="O24" i="2" s="1"/>
  <c r="N264" i="2"/>
  <c r="O264" i="2" s="1"/>
  <c r="N382" i="2"/>
  <c r="O382" i="2" s="1"/>
  <c r="N444" i="2"/>
  <c r="O444" i="2" s="1"/>
  <c r="N354" i="2"/>
  <c r="O354" i="2" s="1"/>
  <c r="N4" i="2"/>
  <c r="O4" i="2" s="1"/>
  <c r="N14" i="2"/>
  <c r="O14" i="2" s="1"/>
  <c r="N19" i="2"/>
  <c r="O19" i="2" s="1"/>
  <c r="N25" i="2"/>
  <c r="O25" i="2" s="1"/>
  <c r="N50" i="2"/>
  <c r="O50" i="2" s="1"/>
  <c r="N134" i="2"/>
  <c r="O134" i="2" s="1"/>
  <c r="N140" i="2"/>
  <c r="O140" i="2" s="1"/>
  <c r="N145" i="2"/>
  <c r="O145" i="2" s="1"/>
  <c r="N164" i="2"/>
  <c r="O164" i="2" s="1"/>
  <c r="N176" i="2"/>
  <c r="O176" i="2" s="1"/>
  <c r="N179" i="2"/>
  <c r="O179" i="2" s="1"/>
  <c r="N214" i="2"/>
  <c r="O214" i="2" s="1"/>
  <c r="N228" i="2"/>
  <c r="O228" i="2" s="1"/>
  <c r="N265" i="2"/>
  <c r="O265" i="2" s="1"/>
  <c r="N287" i="2"/>
  <c r="O287" i="2" s="1"/>
  <c r="N312" i="2"/>
  <c r="O312" i="2" s="1"/>
  <c r="N343" i="2"/>
  <c r="O343" i="2" s="1"/>
  <c r="N353" i="2"/>
  <c r="O353" i="2" s="1"/>
  <c r="N357" i="2"/>
  <c r="O357" i="2" s="1"/>
  <c r="N370" i="2"/>
  <c r="O370" i="2" s="1"/>
  <c r="N374" i="2"/>
  <c r="O374" i="2" s="1"/>
  <c r="N378" i="2"/>
  <c r="O378" i="2" s="1"/>
  <c r="N437" i="2"/>
  <c r="O437" i="2" s="1"/>
  <c r="N441" i="2"/>
  <c r="O441" i="2" s="1"/>
  <c r="N448" i="2"/>
  <c r="O448" i="2" s="1"/>
  <c r="N266" i="2"/>
  <c r="O266" i="2" s="1"/>
  <c r="N29" i="2"/>
  <c r="O29" i="2" s="1"/>
  <c r="N82" i="2"/>
  <c r="O82" i="2" s="1"/>
  <c r="N103" i="2"/>
  <c r="O103" i="2" s="1"/>
  <c r="N151" i="2"/>
  <c r="O151" i="2" s="1"/>
  <c r="N180" i="2"/>
  <c r="O180" i="2" s="1"/>
  <c r="N184" i="2"/>
  <c r="O184" i="2" s="1"/>
  <c r="N209" i="2"/>
  <c r="O209" i="2" s="1"/>
  <c r="N219" i="2"/>
  <c r="O219" i="2" s="1"/>
  <c r="N233" i="2"/>
  <c r="O233" i="2" s="1"/>
  <c r="N236" i="2"/>
  <c r="O236" i="2" s="1"/>
  <c r="N242" i="2"/>
  <c r="O242" i="2" s="1"/>
  <c r="N260" i="2"/>
  <c r="O260" i="2" s="1"/>
  <c r="N274" i="2"/>
  <c r="O274" i="2" s="1"/>
  <c r="N301" i="2"/>
  <c r="O301" i="2" s="1"/>
  <c r="N305" i="2"/>
  <c r="O305" i="2" s="1"/>
  <c r="N308" i="2"/>
  <c r="O308" i="2" s="1"/>
  <c r="N316" i="2"/>
  <c r="O316" i="2" s="1"/>
  <c r="N348" i="2"/>
  <c r="O348" i="2" s="1"/>
  <c r="N383" i="2"/>
  <c r="O383" i="2" s="1"/>
  <c r="N391" i="2"/>
  <c r="O391" i="2" s="1"/>
  <c r="N413" i="2"/>
  <c r="O413" i="2" s="1"/>
  <c r="N422" i="2"/>
  <c r="O422" i="2" s="1"/>
  <c r="N463" i="2"/>
  <c r="O463" i="2" s="1"/>
  <c r="N468" i="2"/>
  <c r="O468" i="2" s="1"/>
  <c r="N6" i="2"/>
  <c r="O6" i="2" s="1"/>
  <c r="N83" i="2"/>
  <c r="O83" i="2" s="1"/>
  <c r="N120" i="2"/>
  <c r="O120" i="2" s="1"/>
  <c r="N281" i="2"/>
  <c r="O281" i="2" s="1"/>
  <c r="N324" i="2"/>
  <c r="O324" i="2" s="1"/>
  <c r="N291" i="2"/>
  <c r="O291" i="2" s="1"/>
  <c r="N55" i="2"/>
  <c r="O55" i="2" s="1"/>
  <c r="N92" i="2"/>
  <c r="O92" i="2" s="1"/>
  <c r="N430" i="2"/>
  <c r="O430" i="2" s="1"/>
  <c r="N224" i="2"/>
  <c r="O224" i="2" s="1"/>
  <c r="N65" i="2"/>
  <c r="O65" i="2" s="1"/>
  <c r="N141" i="2"/>
  <c r="O141" i="2" s="1"/>
  <c r="N196" i="2"/>
  <c r="O196" i="2" s="1"/>
  <c r="N27" i="2"/>
  <c r="O27" i="2" s="1"/>
  <c r="N77" i="2"/>
  <c r="O77" i="2" s="1"/>
  <c r="N114" i="2"/>
  <c r="O114" i="2" s="1"/>
  <c r="N156" i="2"/>
  <c r="N168" i="2"/>
  <c r="O168" i="2" s="1"/>
  <c r="N3" i="2"/>
  <c r="O3" i="2" s="1"/>
  <c r="N33" i="2"/>
  <c r="O33" i="2" s="1"/>
  <c r="N63" i="2"/>
  <c r="O63" i="2" s="1"/>
  <c r="N90" i="2"/>
  <c r="O90" i="2" s="1"/>
  <c r="N118" i="2"/>
  <c r="O118" i="2" s="1"/>
  <c r="N150" i="2"/>
  <c r="O150" i="2" s="1"/>
  <c r="N175" i="2"/>
  <c r="O175" i="2" s="1"/>
  <c r="N202" i="2"/>
  <c r="O202" i="2" s="1"/>
  <c r="N231" i="2"/>
  <c r="O231" i="2" s="1"/>
  <c r="N288" i="2"/>
  <c r="O288" i="2" s="1"/>
  <c r="N307" i="2"/>
  <c r="O307" i="2" s="1"/>
  <c r="N349" i="2"/>
  <c r="O349" i="2" s="1"/>
  <c r="N372" i="2"/>
  <c r="O372" i="2" s="1"/>
  <c r="N56" i="2"/>
  <c r="O56" i="2" s="1"/>
  <c r="N410" i="2"/>
  <c r="O410" i="2" s="1"/>
  <c r="N28" i="2"/>
  <c r="O28" i="2" s="1"/>
  <c r="N84" i="2"/>
  <c r="O84" i="2" s="1"/>
  <c r="N111" i="2"/>
  <c r="O111" i="2" s="1"/>
  <c r="N142" i="2"/>
  <c r="O142" i="2" s="1"/>
  <c r="N326" i="2"/>
  <c r="O326" i="2" s="1"/>
  <c r="N367" i="2"/>
  <c r="O367" i="2" s="1"/>
  <c r="N302" i="2"/>
  <c r="O302" i="2" s="1"/>
  <c r="N319" i="2"/>
  <c r="O319" i="2" s="1"/>
  <c r="N386" i="2"/>
  <c r="O386" i="2" s="1"/>
  <c r="N426" i="2"/>
  <c r="O426" i="2" s="1"/>
  <c r="N443" i="2"/>
  <c r="O443" i="2" s="1"/>
  <c r="N162" i="2"/>
  <c r="O162" i="2" s="1"/>
  <c r="N188" i="2"/>
  <c r="O188" i="2" s="1"/>
  <c r="N216" i="2"/>
  <c r="O216" i="2" s="1"/>
  <c r="N246" i="2"/>
  <c r="O246" i="2" s="1"/>
  <c r="N381" i="2"/>
  <c r="O381" i="2" s="1"/>
  <c r="N13" i="2"/>
  <c r="O13" i="2" s="1"/>
  <c r="N42" i="2"/>
  <c r="O42" i="2" s="1"/>
  <c r="N70" i="2"/>
  <c r="O70" i="2" s="1"/>
  <c r="N99" i="2"/>
  <c r="O99" i="2" s="1"/>
  <c r="N126" i="2"/>
  <c r="O126" i="2" s="1"/>
  <c r="N401" i="2"/>
  <c r="O401" i="2" s="1"/>
  <c r="N438" i="2"/>
  <c r="O438" i="2" s="1"/>
  <c r="N455" i="2"/>
  <c r="O455" i="2" s="1"/>
</calcChain>
</file>

<file path=xl/sharedStrings.xml><?xml version="1.0" encoding="utf-8"?>
<sst xmlns="http://schemas.openxmlformats.org/spreadsheetml/2006/main" count="2535" uniqueCount="1109">
  <si>
    <t>W1</t>
  </si>
  <si>
    <t>W2</t>
  </si>
  <si>
    <t>W3</t>
  </si>
  <si>
    <t>A1</t>
  </si>
  <si>
    <t>A2</t>
  </si>
  <si>
    <t>A3</t>
  </si>
  <si>
    <t>H1</t>
  </si>
  <si>
    <t>H2</t>
  </si>
  <si>
    <t>Pollution Index (PI)</t>
  </si>
  <si>
    <t>Red</t>
  </si>
  <si>
    <t>Orange</t>
  </si>
  <si>
    <t>Carbon black manufacturing</t>
  </si>
  <si>
    <t>Industrial carbon including electrodes &amp; graphite blocks and calcined pet coke</t>
  </si>
  <si>
    <t>Activated carbon manufacturing (with steam activation)</t>
  </si>
  <si>
    <t>Power plants based on coal</t>
  </si>
  <si>
    <t>Power plants based on liquid fuels</t>
  </si>
  <si>
    <t>Waste to energy power plants</t>
  </si>
  <si>
    <t>Hydro &amp; pyro metallurgy</t>
  </si>
  <si>
    <t>Hydro &amp; pyro metallurgy (using cleaner/gaseous fuels &amp; without crushing of materials)</t>
  </si>
  <si>
    <t>Pyro metallurgy (using coal/liquid fuels)</t>
  </si>
  <si>
    <t>Pyro metallurgy (using cleaner/gaseous fuels)</t>
  </si>
  <si>
    <t>Hydro metallurgy</t>
  </si>
  <si>
    <t>Sugar (excluding khandsari/jaggery)</t>
  </si>
  <si>
    <t xml:space="preserve">Fibre glass (Fibre reinforced plastic) production </t>
  </si>
  <si>
    <t>Fibre  glass (containing lead)  production  and processing (excluding moulding)</t>
  </si>
  <si>
    <t>Fibre glass  (without lead) production  and processing (excluding moulding)</t>
  </si>
  <si>
    <t>E-Waste Dismantling / Recycling</t>
  </si>
  <si>
    <t>Inorganic chemicals</t>
  </si>
  <si>
    <t>Basic inorganic chemicals  and  electro chemicals  and  its  derivatives including manufacturing of acid</t>
  </si>
  <si>
    <t>Chlorates,  per-chlorates  &amp; peroxides</t>
  </si>
  <si>
    <t>Chlorine, fluorine,  bromine, iodine and their compounds</t>
  </si>
  <si>
    <t>Pulp &amp; Paper (Agro &amp; Wood)</t>
  </si>
  <si>
    <t>Manufacturing of solvent based paints / varnish</t>
  </si>
  <si>
    <t>Manufacturing of powder coatings</t>
  </si>
  <si>
    <t>Organic chemicals including halogenated hydrocarbons</t>
  </si>
  <si>
    <t>Airports</t>
  </si>
  <si>
    <t>Asbestos and asbestos based industries</t>
  </si>
  <si>
    <t>Cement plants</t>
  </si>
  <si>
    <t>With co-processing with CPP (Captive Power Plant)</t>
  </si>
  <si>
    <t>With co-processing without CPP</t>
  </si>
  <si>
    <t>Without co-processing with CPP</t>
  </si>
  <si>
    <t>Without co-processing without CPP</t>
  </si>
  <si>
    <t xml:space="preserve">Stand-alone grinding units with CPP </t>
  </si>
  <si>
    <t>Stand-alone grinding units without CPP</t>
  </si>
  <si>
    <t>Dyes, Dye Intermediates and Pigments productions</t>
  </si>
  <si>
    <t>Dyes, Dye Intermediates and Pigments produced by chemical synthesis</t>
  </si>
  <si>
    <t>Natural Dye and Pigments requiring acidic/ alkaline/ solvent extraction</t>
  </si>
  <si>
    <t>Natural Dye and Pigments not requiring acidic/ alkaline/ solvent extraction</t>
  </si>
  <si>
    <t>Lead Recycling ( Drained Lead Acid Batteries; Lead Scrap Recycling) Rotary Furnace/Mandir Bhatti on Cleaner Fuel</t>
  </si>
  <si>
    <t>Manufacturing of  glue  and gelatin</t>
  </si>
  <si>
    <t>Manufacturing of  glue  and gelatin using coal/liquid fuel</t>
  </si>
  <si>
    <t>Mining and ore beneficiation</t>
  </si>
  <si>
    <t>Underground coal mining</t>
  </si>
  <si>
    <t>Pesticide industries</t>
  </si>
  <si>
    <t>Pesticide technical (organic chemicals based)</t>
  </si>
  <si>
    <t>Pesticide  formulation industries  (having both liquid  and dry formulation or dry formulation only) without having boiler / thermopack</t>
  </si>
  <si>
    <t>Pesticide  formulation industries  (having both liquid  and dry formulation or dry formulation only)  having boiler / thermopack</t>
  </si>
  <si>
    <t>Photographic  film  and  its chemicals</t>
  </si>
  <si>
    <t>Railway locomotive work shop/ Integrated road transport workshop/ Authorized  service centers</t>
  </si>
  <si>
    <t>Chlor alkali</t>
  </si>
  <si>
    <t>Chlor alkali using washed salt</t>
  </si>
  <si>
    <t xml:space="preserve">Chlor alkali ssing cleaner/gaseous fuel </t>
  </si>
  <si>
    <t>Chlor alkali using cleaner/gaseous fuel and washed salt</t>
  </si>
  <si>
    <t>Ship breaking industries</t>
  </si>
  <si>
    <t>Industry or  process   involving metal  surface treatment  or process  such  as  pickling/ electroplating/paint stripping/ heat treatment  using  cyanide bath/  phosphating or finishing and  anodizing / enamellings/
galvanizing</t>
  </si>
  <si>
    <t>Plasma electrolytic polishing (electroplating)</t>
  </si>
  <si>
    <t>Tanneries</t>
  </si>
  <si>
    <t>Tanneries (Raw to finish)</t>
  </si>
  <si>
    <t>Tanneries (Raw to wet blue)</t>
  </si>
  <si>
    <t>Tanneries (Wet blue to finish)</t>
  </si>
  <si>
    <t>Vegetable tanning</t>
  </si>
  <si>
    <t>Ports and harbours</t>
  </si>
  <si>
    <t>Ports and  harbours, jetties  and dredging operations</t>
  </si>
  <si>
    <t>Aluminium processing</t>
  </si>
  <si>
    <t>Aluminium Refinery</t>
  </si>
  <si>
    <t>Aluminium Smelter</t>
  </si>
  <si>
    <t>Copper Smelter</t>
  </si>
  <si>
    <t>Zinc smelter</t>
  </si>
  <si>
    <t>Fertilizers production</t>
  </si>
  <si>
    <t>Fertilizers (Urea)</t>
  </si>
  <si>
    <t>Fertilizers (NPK)</t>
  </si>
  <si>
    <t>Fertilizers (Straight Phosphatic Fertilizers)</t>
  </si>
  <si>
    <t>Fertilizer (granulation  /formulation / blending) generating wastewater through floor washings, cooling towers etc.</t>
  </si>
  <si>
    <t>Fertilizer (granulation  /formulation / blending) not generating wastewater</t>
  </si>
  <si>
    <t>Iron &amp; steel (primary processing from ore, integrated steel plants and Sponge Iron units)</t>
  </si>
  <si>
    <t>Integrated iron and steel plants</t>
  </si>
  <si>
    <t>Stand-alone sintering / pelletisation</t>
  </si>
  <si>
    <t>Sponge iron with CPP (Captive Power Plant)</t>
  </si>
  <si>
    <t>Sponge iron without CPP</t>
  </si>
  <si>
    <t>Stand-alone coke oven gas plants</t>
  </si>
  <si>
    <t xml:space="preserve">Pulp and Paper (Recycled fibre/Waste paper based) </t>
  </si>
  <si>
    <t>Pulp &amp; Paper (With bleaching)</t>
  </si>
  <si>
    <t>Pulp &amp; Paper (Without bleaching, capacity ≥15 TPD)</t>
  </si>
  <si>
    <t xml:space="preserve">Pulp &amp; Paper (Without bleaching; plant capacity &lt;15 TPD) </t>
  </si>
  <si>
    <t>Petroleum oil refineries</t>
  </si>
  <si>
    <t>Petrochemicals</t>
  </si>
  <si>
    <t>Petrochemicals (Naphtha cracker.)</t>
  </si>
  <si>
    <t xml:space="preserve">Petrochemicals (Gas cracker)
</t>
  </si>
  <si>
    <t xml:space="preserve">Petrochemicals (without cracker)
</t>
  </si>
  <si>
    <t xml:space="preserve">Petrochemicals (without cracker and using cleaner/gaseous fuel)
</t>
  </si>
  <si>
    <t>Synthetic  rubber  excluding molding</t>
  </si>
  <si>
    <t>Pharmaceutical industry</t>
  </si>
  <si>
    <t>Pharmaceuticals manufacturing</t>
  </si>
  <si>
    <t>Pharmaceuticals manufacturing using cleaner/gaseous fuel</t>
  </si>
  <si>
    <t>Pharmaceuticals (Formulation)</t>
  </si>
  <si>
    <t xml:space="preserve">Pharmaceuticals (Formulation) using cleaner/gaseous fuel </t>
  </si>
  <si>
    <t>Vaccine manufacturing</t>
  </si>
  <si>
    <t>Vaccine manufacturing using cleaner/gaseous fuel</t>
  </si>
  <si>
    <t>Ayurvedic or unani medicines manufacturing</t>
  </si>
  <si>
    <t>Ayurvedic or unani medicines manufacturing using cleaner fuel</t>
  </si>
  <si>
    <t>Ayurvedic or unani medicines manufacturing (Without boiler )</t>
  </si>
  <si>
    <t>Pharmaceutical R&amp;D facilities</t>
  </si>
  <si>
    <t>Railway stations</t>
  </si>
  <si>
    <t>Bakery, confectionery and sweets products</t>
  </si>
  <si>
    <t>Bakery, confectionery, sweets with production  capacity  ≥ 1  TPD</t>
  </si>
  <si>
    <t>Bakery, confectionery, sweets with production capacity ≥ 1 TPD. (using cleaner/gaseous fuel)</t>
  </si>
  <si>
    <t>Jute processing</t>
  </si>
  <si>
    <t>Manufacturing of silica gel</t>
  </si>
  <si>
    <t>Manufacturing  of  tooth  powder, toothpaste, talcum powder and other cosmetic items</t>
  </si>
  <si>
    <t>Manufacturing of  toothpaste and other cosmetic items</t>
  </si>
  <si>
    <t xml:space="preserve">Manufacturing  of  tooth powder, talcum powder </t>
  </si>
  <si>
    <t xml:space="preserve">Saree/fabric printing by screen / wooden block /hand block </t>
  </si>
  <si>
    <t>Saree/fabric printing by screen / wooden block/hand block</t>
  </si>
  <si>
    <t>Hand block printing without effluent generation</t>
  </si>
  <si>
    <t>Synthetic detergent and soaps</t>
  </si>
  <si>
    <t>Synthetic  detergents  and soaps (only formulation)</t>
  </si>
  <si>
    <t>Thermometer manufacturing</t>
  </si>
  <si>
    <t>Glass (mercury based) thermometer manufacturing</t>
  </si>
  <si>
    <t>Digital thermometer manufacturing</t>
  </si>
  <si>
    <t>Almirah, Grill  Manufacturing (Dry Mechanical Process )</t>
  </si>
  <si>
    <t>Aluminium  &amp;  copper  extraction  from scrap   using   oil   fired   furnace   (dry process only)</t>
  </si>
  <si>
    <t>Brick manufacturing</t>
  </si>
  <si>
    <t xml:space="preserve">Brick kilns  using coal as fuel </t>
  </si>
  <si>
    <t>Brick kilns using biomass as fuel</t>
  </si>
  <si>
    <t>Tunnel brick kilns (gas fired)</t>
  </si>
  <si>
    <t>Building construction projects</t>
  </si>
  <si>
    <t>Building  construction  project  ≥ 20,000 sq. m. built-up area</t>
  </si>
  <si>
    <t>Building  construction  project  ≥ 5,000 sq. m., but &lt; 20,000 sq. m. built-up area (without connectivity to terminal STP)</t>
  </si>
  <si>
    <t xml:space="preserve"> Refractories</t>
  </si>
  <si>
    <t xml:space="preserve">Ceramics </t>
  </si>
  <si>
    <t>Coal washeries</t>
  </si>
  <si>
    <t>Manufacturing  of  mirror  from  sheet glass</t>
  </si>
  <si>
    <t>Mineral processing, industries involving ore sintering, pelletisating, grinding  &amp; pulverization</t>
  </si>
  <si>
    <t>Distilleries and fermentation industries</t>
  </si>
  <si>
    <t>Distillery (Grain based)</t>
  </si>
  <si>
    <t>Standalone yeast manufacturing units</t>
  </si>
  <si>
    <t>Potable  alcohol  by  blending, bottling of alcohol products</t>
  </si>
  <si>
    <t>Ferrous and Non-ferrous metal secondary processing/reprocessing units involving different furnaces through melting, refining, casting, alloy-making</t>
  </si>
  <si>
    <t>Fish feed, poultry feed and cattle feed</t>
  </si>
  <si>
    <t>Fish processing and packing (excluding chilling of fishes)</t>
  </si>
  <si>
    <t>Forging of  ferrous  and  non- ferrous metals</t>
  </si>
  <si>
    <t>Hot mix plants</t>
  </si>
  <si>
    <t>Hot mix plants using oil as fuel</t>
  </si>
  <si>
    <t>Hot mix plants using gaseous as fuel</t>
  </si>
  <si>
    <t>Foundry operations</t>
  </si>
  <si>
    <t xml:space="preserve">Induction furnace/arc furnace </t>
  </si>
  <si>
    <t xml:space="preserve">Cupola furnace </t>
  </si>
  <si>
    <t>Lime manufacturing (using lime kiln)</t>
  </si>
  <si>
    <t>Liquid floor cleaner, black phenyl, liquid soap, glycerol   mono-stearate manufacturing</t>
  </si>
  <si>
    <t xml:space="preserve">Manufacturing of glass (Oil/coal fired)
</t>
  </si>
  <si>
    <t xml:space="preserve">Manufacturing of glass (gas fired)
</t>
  </si>
  <si>
    <t>Manufacturing   of   iodized   salt   from crude/ raw salt</t>
  </si>
  <si>
    <t>Manufacturing  of  mosquito repellent &amp; coil</t>
  </si>
  <si>
    <t>Modular  wooden  furniture from particle board, MDF, swan timber etc, Ceiling tiles/ partition board from saw dust, wood   chips   etc., and other agricultural waste using  synthetic adhesive  resin,  wooden  box  making  (With boiler)</t>
  </si>
  <si>
    <t>Modular  wooden  furniture  from particle board, MDF, swan timber etc, Ceiling tiles/ partition board from saw dust,  wood chips etc., and   other agricultural waste using synthetic adhesive  resin,  wooden  box  making  (Without boiler)</t>
  </si>
  <si>
    <t>New highway construction project</t>
  </si>
  <si>
    <t>Ply-wood/board  manufacturing ( including Veneer  and  laminate) with biomass  fired boiler / thermic   fluid   heater (without resin plant)</t>
  </si>
  <si>
    <t>Printing ink manufacturing</t>
  </si>
  <si>
    <t>Recycling of plastic waste</t>
  </si>
  <si>
    <t>Rolling mills</t>
  </si>
  <si>
    <t xml:space="preserve">Rolling and pickling </t>
  </si>
  <si>
    <t>Rolling mills (oil and coal fired)</t>
  </si>
  <si>
    <t>Rolling mills (gas fired)</t>
  </si>
  <si>
    <t>Cold rolling mill (without heat treatment)</t>
  </si>
  <si>
    <t>Spray  painting,  paint  baking,   paint shipping</t>
  </si>
  <si>
    <t>Thermocol manufacturing (with boiler)</t>
  </si>
  <si>
    <t>Transformer repairing/ manufacturing (dry process only)</t>
  </si>
  <si>
    <t>Rubber products manufacturing</t>
  </si>
  <si>
    <t>Tyre and tube manufacturing</t>
  </si>
  <si>
    <t>Tyres   and   tubes   vulcanization/   hot retreading</t>
  </si>
  <si>
    <t>Edible oil mills</t>
  </si>
  <si>
    <t>Vegetable  oil manufacturing including  solvent extraction   and refinery /hydrogenated  oils</t>
  </si>
  <si>
    <t xml:space="preserve">Oil mills Ghani and extraction without boiler (no refining/ hydrogenation) </t>
  </si>
  <si>
    <t>Wire drawing and wire netting</t>
  </si>
  <si>
    <t>Wire drawing and wire netting (with pickling)</t>
  </si>
  <si>
    <t>Battery manufacturing</t>
  </si>
  <si>
    <t xml:space="preserve">Synthetic resins </t>
  </si>
  <si>
    <t>Synthetic resins manufacturing</t>
  </si>
  <si>
    <t>Cashew nut processing</t>
  </si>
  <si>
    <t>Coffee seeds processing industry</t>
  </si>
  <si>
    <t>Coffee seeds processing (wet process)</t>
  </si>
  <si>
    <t>Coffee seeds processing with eco-pulper</t>
  </si>
  <si>
    <t>Rice Mills</t>
  </si>
  <si>
    <t>Foam manufacturing</t>
  </si>
  <si>
    <t xml:space="preserve">Scraping facilities for end-of-life  vehicles, wagons and coaches </t>
  </si>
  <si>
    <t>Collection, Depollution and Dismantling Centers (Without shredding)</t>
  </si>
  <si>
    <t>Collection, Depollution, Dismantling and shredding Centers</t>
  </si>
  <si>
    <t>Common Shredders (Standalone)</t>
  </si>
  <si>
    <t xml:space="preserve">Compressed Biogas (CBG)/Bio-CNG plants         </t>
  </si>
  <si>
    <t>White</t>
  </si>
  <si>
    <t>Dairy Farm</t>
  </si>
  <si>
    <t>Dairy Farm (having more than 500 animals)</t>
  </si>
  <si>
    <t>Dairy Farm (having 101 to 500 animals)</t>
  </si>
  <si>
    <t>Construction and Demolition (C&amp;D) Waste Processing Plants</t>
  </si>
  <si>
    <t xml:space="preserve">Gold Assaying &amp; Hallmarking Centres </t>
  </si>
  <si>
    <t>Cardboard or corrugated box and paper products (excluding paper or pulp manufacturing and without using boilers)</t>
  </si>
  <si>
    <t>Carpentry  &amp; wooden furniture manufacturing</t>
  </si>
  <si>
    <t>Carpentry &amp; wooden furniture manufacturing with spray painting (excluding saw mill) with the help of electrical (motorized) machines  such as electrical wood planner, steel saw cutting circular blade, etc.</t>
  </si>
  <si>
    <t>Carpentry &amp; wooden furniture manufacturing without spray painting (excluding saw mill) with the help of electrical (motorized) machines such as electrical wood    planner, steel saw cutting circular blade, etc.</t>
  </si>
  <si>
    <t>Chilling  plant,  cold  storage and ice making</t>
  </si>
  <si>
    <t>Chilling plant</t>
  </si>
  <si>
    <t>Cold storage</t>
  </si>
  <si>
    <t>Ice making</t>
  </si>
  <si>
    <t>Pulse/Dal Mills</t>
  </si>
  <si>
    <t>Decoration  of  ceramic  cups and plates by electric furnace</t>
  </si>
  <si>
    <t>Facility of handling, storage and transportation of food grains in bulk</t>
  </si>
  <si>
    <t>Flour mills (dry process)</t>
  </si>
  <si>
    <t>Glue from starch (physical mixing) with gas/ electrically  operated  oven /boiler.</t>
  </si>
  <si>
    <t>Gold  and  silver smithy (purification with acid smelting operation  and sulphuric acid polishing operation) (using less  or equal to 1 litre  of sulphuric acid/ nitric acid per month)</t>
  </si>
  <si>
    <t>Heat  treatment  with  any  of the  new  technology  like ultrasound probe, induction hardening, ionization  beam, gas carburizing etc.</t>
  </si>
  <si>
    <t>Insulation  and  other  coated papers  (excluding  paper   or pipe manufacturing)</t>
  </si>
  <si>
    <t>Leather foot wear and leather products (excluding  tanning and hide processing)</t>
  </si>
  <si>
    <t>Packaging materials manufacturing from non-asbestos fibre, vegetable fibre yarn</t>
  </si>
  <si>
    <t>Phenyl/toilet cleaner formulation and bottling</t>
  </si>
  <si>
    <t>Power looms  (without dye and bleaching)</t>
  </si>
  <si>
    <t xml:space="preserve">Puffed rice (muri) (using gas) </t>
  </si>
  <si>
    <t>Pulverization of bamboo and scrap wood</t>
  </si>
  <si>
    <t>Ready mix cement concrete</t>
  </si>
  <si>
    <t>Saw mills</t>
  </si>
  <si>
    <t>Spice grinding</t>
  </si>
  <si>
    <t>Steel furniture industry</t>
  </si>
  <si>
    <t>Steel furniture with spray painting</t>
  </si>
  <si>
    <t>Steel furniture without spray painting</t>
  </si>
  <si>
    <t>CO2 recovery plant</t>
  </si>
  <si>
    <t>Distilled water (without boiler) with electricity as source of heat</t>
  </si>
  <si>
    <t>Manufacturing of optical lenses (using electrical furnace)</t>
  </si>
  <si>
    <t>Tamarind powder manufacturing</t>
  </si>
  <si>
    <t>Emery powder (fine dust of sand) manufacturing</t>
  </si>
  <si>
    <t>Flyash export or disposal operations</t>
  </si>
  <si>
    <t xml:space="preserve">Railway sidings / Mineral stock yard </t>
  </si>
  <si>
    <t>Seasoning  of  wood   in   steam heated chamber</t>
  </si>
  <si>
    <t>Tea processing and blending</t>
  </si>
  <si>
    <t>Blending and packing of tea</t>
  </si>
  <si>
    <t>Gaushalas</t>
  </si>
  <si>
    <t>Assembly of bicycles ,baby carriages and other small non motorizing vehicles</t>
  </si>
  <si>
    <t>Bailing (hydraulic press)of waste papers</t>
  </si>
  <si>
    <t>Bio fertilizer and bio-pesticides without using inorganic chemicals</t>
  </si>
  <si>
    <t>Biscuits trays etc from rolled PVC sheet (using automatic vacuum forming machines)</t>
  </si>
  <si>
    <t>Block making of printing without foundry (excluding wooden block  making)</t>
  </si>
  <si>
    <t>Chalk making from plaster of Paris ( only casting without boilers etc.(sun drying / electrical oven)</t>
  </si>
  <si>
    <t>Compressed oxygen gas from crude liquid oxygen (without use of any solvents and by maintaining pressure &amp; temperature only for separation of other gases)</t>
  </si>
  <si>
    <t>Cotton and woollen hosiers making (Dry process only without any dying / washing operation)</t>
  </si>
  <si>
    <t>Diesel pump repairing and servicing (complete mechanical dry process)</t>
  </si>
  <si>
    <t>Electric lamp (bulb) and CFL manufacturing
by assembling only</t>
  </si>
  <si>
    <t>Electrical and electronic item assembling (completely dry process)</t>
  </si>
  <si>
    <t>Engineering and fabrication units (dry process without any heat treatment / metal surface finishing operations / painting)</t>
  </si>
  <si>
    <t>Flavoured betel nuts production/ grinding (completely dry mechanical operations)</t>
  </si>
  <si>
    <t>Fly ash bricks/ block manufacturing</t>
  </si>
  <si>
    <t>Fly ash bricks/ block manufacturing (with boiler)</t>
  </si>
  <si>
    <t>Fly ash bricks/ block manufacturing (without boiler)</t>
  </si>
  <si>
    <t>Fountain pen manufacturing by assembling only</t>
  </si>
  <si>
    <t>Glass and ampules and vials making from glass tubes</t>
  </si>
  <si>
    <t>Glass putty and sealant (by mixing with machine only)</t>
  </si>
  <si>
    <t>Ground nut decorticating</t>
  </si>
  <si>
    <t>Handloom/ carpet weaving ( without dying and bleaching operation)</t>
  </si>
  <si>
    <t>Leather cutting and stitching (more than 10 machine and using motor)</t>
  </si>
  <si>
    <t>Manufacturing of metal caps containers etc</t>
  </si>
  <si>
    <t>Manufacturing of shoe brush and wire brush</t>
  </si>
  <si>
    <t>Medical oxygen</t>
  </si>
  <si>
    <t>Packing of powdered milk</t>
  </si>
  <si>
    <t>Repairing of electric motors and generators (dry mechanical process)</t>
  </si>
  <si>
    <t>Solar power generation through solar photovoltaic cell and wind power</t>
  </si>
  <si>
    <t>Used Cooking oil (UCO) collection centers</t>
  </si>
  <si>
    <t>Household bio-digesters/gobar-gas (cow-dung) plants based on biodegradable wastes, etc.</t>
  </si>
  <si>
    <t>Common Bio-medical Waste Treatment Facility (CBWTF)</t>
  </si>
  <si>
    <t>CBWTF</t>
  </si>
  <si>
    <t>CBWTF using cleaner/gaseous fuel</t>
  </si>
  <si>
    <t>Semiconductor fabs manufacturing</t>
  </si>
  <si>
    <t>Display fabs manufacturing</t>
  </si>
  <si>
    <t>Sand / riverbed material mining from riverbed and its floodplains (excluding manual excavation)</t>
  </si>
  <si>
    <t>Standalone mining lease area up to five hectares in areas (not a part of any cluster mining)</t>
  </si>
  <si>
    <t xml:space="preserve">AAC bricks/blocks manufacturing using biomass as fuel </t>
  </si>
  <si>
    <t xml:space="preserve">AAC bricks/blocks manufacturing using gas as fuel </t>
  </si>
  <si>
    <t>AAC bricks/blocks manufacturing using coal as fuel (12 TPD and above)</t>
  </si>
  <si>
    <t>AAC bricks/blocks manufacturing using coal as fuel (less than 12 TPD)</t>
  </si>
  <si>
    <t>Bulk terminals for storage and packaging of cement</t>
  </si>
  <si>
    <t>Forging of  ferrous  and  non- ferrous metals using liquid fuel</t>
  </si>
  <si>
    <t>Forging of  ferrous  and  non- ferrous metals using gaseous fuel</t>
  </si>
  <si>
    <t>Forging of  ferrous  and  non- ferrous metals using electricity</t>
  </si>
  <si>
    <t>Synthetic resins manufacturing (using only gaseous fuel)</t>
  </si>
  <si>
    <t>Organic chemicals including halogenated hydrocarbons (using cleaner fuel)</t>
  </si>
  <si>
    <t xml:space="preserve">Common Effluent Treatment Plant (CETP) </t>
  </si>
  <si>
    <t xml:space="preserve">Common Hazardous Waste Treatment, Storage and Disposal Facility </t>
  </si>
  <si>
    <t>Integrated facility (Secured landfill and incinerator)</t>
  </si>
  <si>
    <t xml:space="preserve">Only secured landfill </t>
  </si>
  <si>
    <t>Only incinerator</t>
  </si>
  <si>
    <t>Sewage Treatment Plant (5 MLD and above)</t>
  </si>
  <si>
    <t>Sewage Treatment Plant (less than 5 MLD)</t>
  </si>
  <si>
    <t>Textile Industry</t>
  </si>
  <si>
    <t xml:space="preserve">Textile spinning, sizing and weaving mills </t>
  </si>
  <si>
    <t>Reprocessing of waste textile fabric (dry process)</t>
  </si>
  <si>
    <t>Reprocessing of waste textile fabric</t>
  </si>
  <si>
    <t>Yarn to grey fabric manufacturing with water jet machines</t>
  </si>
  <si>
    <t>Purification of water and packaging (mineralized/non-mineralized water)</t>
  </si>
  <si>
    <t xml:space="preserve">Slaughter house/Slaughter house (with rendering plant)/ integrated slaughtering unit, meat processing units, bone  mill,  processing of  animal  horns,  hoofs and  other body parts </t>
  </si>
  <si>
    <t>Mini Hydel power plants (Capacity ≤ 25 MW)</t>
  </si>
  <si>
    <t>Hydel power plants (Capacity &gt; 50 MW)</t>
  </si>
  <si>
    <t>Hydel power plants including pumped storage projects</t>
  </si>
  <si>
    <t>Grinding, processing, screening of minor minerals</t>
  </si>
  <si>
    <t>Stone crushers</t>
  </si>
  <si>
    <t>Mining of major minerals and ore beneficiation</t>
  </si>
  <si>
    <t>Malteries  (without  fermentaion)</t>
  </si>
  <si>
    <t>Tea processing (with boiler)</t>
  </si>
  <si>
    <t>Tea processing (without boiler)</t>
  </si>
  <si>
    <t>Die-casting /extrusion process only</t>
  </si>
  <si>
    <t>Lead Recycling ( Lead Acid Batteries with Acids; Lead Scrap Recycling) Rotary Furnace/ Pit Furnace (Mandir/Canopy Bhatti)</t>
  </si>
  <si>
    <t>Effluent conveyance projects</t>
  </si>
  <si>
    <t>CETP having MEE/spray drier</t>
  </si>
  <si>
    <t>Common Sewage-Effluent Treatment Plant (CSETP)</t>
  </si>
  <si>
    <t>Wire drawing and wire netting (without pickling and with heat treatment)</t>
  </si>
  <si>
    <t>Wire drawing and wire netting  (without pickling and without heat treatment)</t>
  </si>
  <si>
    <t>Genset(s) of total capacity  ≥ 1 MVA, using cleaner/gaseous fuel</t>
  </si>
  <si>
    <t>Mobile towers using genset(s)</t>
  </si>
  <si>
    <t xml:space="preserve">Milk processes and dairy products (integrated project) </t>
  </si>
  <si>
    <t xml:space="preserve">Milk  processes  and  dairy products </t>
  </si>
  <si>
    <t>Dairy and dairy products, (Small scale units), using  PNG as fuel</t>
  </si>
  <si>
    <t>Phosphorous and its compounds, including phosphorous rock processing</t>
  </si>
  <si>
    <t xml:space="preserve">Bleached grades of chemical pulp, paper, paperboard having Totally Chlorine Free (TCF) bleaching </t>
  </si>
  <si>
    <t>Unbleached or Totally Chlorine Free (TCF) bleaching for manufacturing of chemical pulp, papers and paperboards</t>
  </si>
  <si>
    <t xml:space="preserve">Manufacturing of bleached chemical pulp, papers and paperboards </t>
  </si>
  <si>
    <t xml:space="preserve">Hotels (up to 3 star) or  having more than 20 rooms but less than 100 rooms. </t>
  </si>
  <si>
    <t xml:space="preserve">Up to 20  rooms </t>
  </si>
  <si>
    <t>Hotels (above 3 star) or having 100 &amp; above rooms</t>
  </si>
  <si>
    <t>Hotels (above 3 star) or having 100 &amp; above rooms (based on cleaner /gaseous fuel)</t>
  </si>
  <si>
    <t>Manufacturing of  glue  and gelatin by using biomass/cleaner fuel</t>
  </si>
  <si>
    <t>Railway Stations (Waste water Generation ≥ 100 KLD, but &lt; 5 MLD)</t>
  </si>
  <si>
    <t>All Ferrous and Non-ferrous metal secondary processing/reprocessing units involving different furnaces through melting, refining, casting, alloy-making (using coal/liquid fuels)</t>
  </si>
  <si>
    <t>Ports and  harbours (only containers handling)/ Captive jetties</t>
  </si>
  <si>
    <t>Jute processing (with dyeing / with boiler)</t>
  </si>
  <si>
    <t>Jute processing (without dyeing / without boiler)</t>
  </si>
  <si>
    <t>Manufacturing of products from jute (without dyeing/ without boiler)</t>
  </si>
  <si>
    <t>Manufacturing of glass (including printing or etching of glass sheet using hydrofluoric acid)</t>
  </si>
  <si>
    <t>Synthetic  detergents  and soaps (wastewater generation ≥ 100 KLD)</t>
  </si>
  <si>
    <t>Synthetic  detergents  and soaps (wastewater generation &lt; 100 KLD)</t>
  </si>
  <si>
    <t>Textile spinning, sizing and weaving mills (wastewater generation &lt;10 KLD)</t>
  </si>
  <si>
    <t>Automobile service stations/ workshops</t>
  </si>
  <si>
    <t>Hotels/banquet halls having room facility</t>
  </si>
  <si>
    <t>Refractories based on cleaner fuels</t>
  </si>
  <si>
    <t>Distillery (Molasses based)</t>
  </si>
  <si>
    <t>Refractories based on coal/liquid fuel (fuel consumption: 12 TPD and above)</t>
  </si>
  <si>
    <t>Refractories based on coal/liquid fuel (fuel consumption: less than 12 TPD)</t>
  </si>
  <si>
    <t>Railway locomotive work shop/ Integrated road transport workshop/ Authorized  service centers (wastewater generation &lt;10 KLD)</t>
  </si>
  <si>
    <t>Railway locomotive work shop/ Integrated road transport workshop/ Authorized  service centers (wastewater generation ≥ 10 KLD)</t>
  </si>
  <si>
    <t>Dairy and dairy products (Small scale units), using coal/biomass as fuel (Wastewater generation ≥ 100 KLD)</t>
  </si>
  <si>
    <t>Dairy and dairy products (Small scale units), using coal/biomass as fuel (Wastewater generation &lt; 100 KLD)</t>
  </si>
  <si>
    <t>Ceramics/ Glass /Earthen potteries and tile manufacturing using coal/oil fired kilns (fuel consumption: 12 TPD and above)</t>
  </si>
  <si>
    <t xml:space="preserve">Ceramics/ Glass /Earthen potteries and tile manufacturing (using gas fired  kilns)/tunnel kiln </t>
  </si>
  <si>
    <t>Ceramics/ Glass /Earthen potteries and tile manufacturing using  coal/oil fired  kilns (fuel consumption: less than 12 TPD)</t>
  </si>
  <si>
    <t>Breweries and malteries industry (with fermentaion)- Wastewater generataion ≥ 100 KLD</t>
  </si>
  <si>
    <t>Breweries and malteries industry (with fermentaion)- Wastewater generataion &lt; 100 KLD</t>
  </si>
  <si>
    <t>Distillery (Grain based) with Distiller's Dried Grains with Solubles (DDGS) as by-product</t>
  </si>
  <si>
    <t>Tyre Pyrolysis Oil Industries-Applicable for advance batch automated process / continuouus TPO units</t>
  </si>
  <si>
    <t>Semiconductor manufacturing industries</t>
  </si>
  <si>
    <t>Compound semiconductors/ silicon photonics/ sensor  fabs manufacturing</t>
  </si>
  <si>
    <t>Semiconductor Assembly, Testing, Marking and Packaging Facility (ATMP)</t>
  </si>
  <si>
    <t>Heat treatment using  furnace ( without  cyaniding)</t>
  </si>
  <si>
    <t>Ice cream manufacturing units</t>
  </si>
  <si>
    <t>Standalone mechanized laundry (using boiler)</t>
  </si>
  <si>
    <t>Industries engaged in recycling / reprocessing/ recovery/reuse of Hazardous Waste</t>
  </si>
  <si>
    <t>Paint and ink sludge / residues  recycling</t>
  </si>
  <si>
    <t xml:space="preserve">Industries engaged in recycling / reprocessing/ recovery/reuse of Hazardous Waste, excluding lead, paint and ink sludge
</t>
  </si>
  <si>
    <t xml:space="preserve">Manufacturing of modular wooden furniture </t>
  </si>
  <si>
    <t>Manufacturing of non-alcoholic beverages</t>
  </si>
  <si>
    <t xml:space="preserve">Manufacturing of paints, varnishes </t>
  </si>
  <si>
    <t>Manufacturing of paint and varnishes (only blending and mixing)</t>
  </si>
  <si>
    <t>Industry or process  involving metal surface  treatment  or process/heat treatment</t>
  </si>
  <si>
    <t xml:space="preserve">Manufacturing of coated electrode </t>
  </si>
  <si>
    <t>Manufacturing of compact  disc computer (CD/DVD) / cassette manufacturing / reel manufacturing</t>
  </si>
  <si>
    <t xml:space="preserve">Manufacturing of Autoclaved Aerated Concrete (AAC) Bricks/Blocks </t>
  </si>
  <si>
    <t>Manufacturing of  flakes/staple fibre/strip from recycling of PET bottles</t>
  </si>
  <si>
    <t xml:space="preserve">Manufacturing of surgical  and medical products </t>
  </si>
  <si>
    <t>Surgical and medical products assembling only
 (with  effluent  generating processes)</t>
  </si>
  <si>
    <t>Surgical and medical products assembling only 
(without effluent generating processes)</t>
  </si>
  <si>
    <t>Manufacturing of tobacco products including cigarettes and tobacco processes</t>
  </si>
  <si>
    <t>Manufacturing of tobacco products including cigarettes and tobacco processes (with boiler)</t>
  </si>
  <si>
    <t>Manufacturing of tobacco products including cigarettes and tobacco processes (without boiler)</t>
  </si>
  <si>
    <t>Rubber goods industry (with gas based boiler)</t>
  </si>
  <si>
    <t xml:space="preserve"> Dry cell battery (excluding manufacturing
of electrodes) and assembling &amp; charging
of acid lead battery on micro scale</t>
  </si>
  <si>
    <t>Battery manufacturing without boiler (excluding lead acid battery)</t>
  </si>
  <si>
    <t>Blending of  melamine  resins &amp; different powder, additives by physical mixing, including phenolic resin (without boiler)</t>
  </si>
  <si>
    <t>Raw rice mill (Without soaking and steam/drier)/ hullers)</t>
  </si>
  <si>
    <t>Parboiled rice mill (with soaking and steam/drier)</t>
  </si>
  <si>
    <t>Refining of used oil by hydro-treating/using solvent extraction</t>
  </si>
  <si>
    <t xml:space="preserve">Recycling / reprocessing of waste  oil </t>
  </si>
  <si>
    <t xml:space="preserve">Producer gas plant using conventional coal  gasification </t>
  </si>
  <si>
    <t>Dairy Farm (having 15 to 100 animals)</t>
  </si>
  <si>
    <t>Briquette manufacturing (coal/biomass/coke)</t>
  </si>
  <si>
    <t>Manufacturing of aluminium utensils  from aluminium circles pressing/ Brass  and  bell  metal  utensils manufacturing from circles
(dry mechanical operation only)</t>
  </si>
  <si>
    <t>Manufacturing of candy</t>
  </si>
  <si>
    <t>Manufacturing of precast cement  products (without using  asbestos/ boiler / steam curing)  like  pipe ,pillar,  jafri, well  ring, block/tiles etc.(should be done in  closed  covered  shed to control fugitive emissions)</t>
  </si>
  <si>
    <t>Manufacturing of ceramic colour  by mixing &amp; blending only (not using boiler and wastewater recycling process)</t>
  </si>
  <si>
    <t>Manufacturing of lubricating oils, grease and petroleum based products</t>
  </si>
  <si>
    <t>Manufacturing of lubricating oils, grease and petroleum based products (only blending)</t>
  </si>
  <si>
    <t>Polythene  and  plastic processed  products
manufacturing (virgin/compostable plastic)</t>
  </si>
  <si>
    <t>Poultry, piggery and hatchery</t>
  </si>
  <si>
    <t>Integreted facility for reprocessing of waste textile fabric (including washing, bleaching, dyeing etc.)</t>
  </si>
  <si>
    <t>Soap  manufacturing  (hand made -without  steam  boiling / boiler)</t>
  </si>
  <si>
    <t>Organic manure (physical mixing)</t>
  </si>
  <si>
    <t>Manufacturing of paper pins, U-clips, etc.</t>
  </si>
  <si>
    <t>Manufacturing of scientific and mathematical instrument  (assembling only)</t>
  </si>
  <si>
    <t>Manufacturing of plastic or cotton rope</t>
  </si>
  <si>
    <t>Organic and inorganic nutrients by physical mixing (without boiler and without any reactor)</t>
  </si>
  <si>
    <t>Manufacturing of industrial carbon including electrodes and graphite  blocks, activated carbon, carbon black</t>
  </si>
  <si>
    <t>CETP (without having MEE/spray drier), Common MEE/common spray driers</t>
  </si>
  <si>
    <r>
      <t xml:space="preserve">Ferrous and Non-ferrous metal </t>
    </r>
    <r>
      <rPr>
        <b/>
        <sz val="11"/>
        <rFont val="Times New Roman"/>
        <family val="1"/>
      </rPr>
      <t>(excluding lead, nickel, manganese)</t>
    </r>
    <r>
      <rPr>
        <sz val="11"/>
        <rFont val="Times New Roman"/>
        <family val="1"/>
      </rPr>
      <t xml:space="preserve"> secondary processing/reprocessing units involving different furnaces through melting, refining, casting, alloy-making (using cleaner fuels/electricity)</t>
    </r>
  </si>
  <si>
    <t>Remarks</t>
  </si>
  <si>
    <t>Category</t>
  </si>
  <si>
    <t>Organic chemicals including halogenated hydrocarbons (using solid/liquid fuel)</t>
  </si>
  <si>
    <t xml:space="preserve">Manufacturing of automobiles (integrated facilities)
</t>
  </si>
  <si>
    <t>Gas-based power plants</t>
  </si>
  <si>
    <t>Biomass-based power plants</t>
  </si>
  <si>
    <t>Isolated storages (as defined under Manufacture, Storage, and Import of Hazardous Chemicals Rules, 1989 as amended)</t>
  </si>
  <si>
    <t xml:space="preserve">Yarn / Textile processing involving any effluent/emission generating processes including bleaching, dyeing, printing, and  colouring, including the garment and apparel manufacturing industry </t>
  </si>
  <si>
    <t>Manufacturing of teflon based products</t>
  </si>
  <si>
    <t>Garment and apparel manufacturing industry including Doubling / Reeling / TFO-Two for one unit (dry process)-with boiler</t>
  </si>
  <si>
    <t>Garment and apparel manufacturing industry including Doubling / Reeling / TFO-Two for one unit (dry process)-without boiler</t>
  </si>
  <si>
    <t>Manufacturing of bi-axially oriented  Polypropylene (PP)  film along with metalizing operations</t>
  </si>
  <si>
    <t>Plastic waste processing (manufacturing of flakes/granules)</t>
  </si>
  <si>
    <t>Manufacturing of Starch/Sago/Sorbitol</t>
  </si>
  <si>
    <t>Manufacturing of firecrackers including improved crackers/green crackers, etc.</t>
  </si>
  <si>
    <t>Industry engaged in recycling of e-waste generated from the electrical and electronic equipment (EEE) listed in the E-Waste (Management) Rules 2022 (PCB processing limited to only mechanical processing and separation without pyro/ hydro/ electro-metallurgical processing), production of Al, Cu and other metals from non PCB sources and/or recycling of plastic separated from Waste EEE.</t>
  </si>
  <si>
    <t>Manufacturing of water-based paints</t>
  </si>
  <si>
    <t>Open-cast coal mining</t>
  </si>
  <si>
    <t>Mining of minor minerals (except Sand/riverbed material mining)</t>
  </si>
  <si>
    <t>Pesticide  formulation industries  (Liquid formulation only) having boiler/thermopack</t>
  </si>
  <si>
    <t>Pesticide  formulation industries  (Liquid formulation only) without having boiler/thermopack</t>
  </si>
  <si>
    <t>Oil and gas extraction (offshore &amp; onshore extraction through drilling wells), Coal Bed Methane (CBM) drilling and shale gas, including group gathering stations (GGS), etc.</t>
  </si>
  <si>
    <t>Pesticide technical (inorganic chemicals based like Zinc Phosphide and Aluminium Phosphide)</t>
  </si>
  <si>
    <t>Assembly of air coolers/conditioners, repairing and servicing</t>
  </si>
  <si>
    <t>Lead acid battery manufacturing (excluding assembling and charging of lead acid battery in micro-scale)</t>
  </si>
  <si>
    <t>Formulation/pelletisation of camphor tablets, naphthalene balls from camphor/ naphthalene powders.</t>
  </si>
  <si>
    <t>Coke oven plant,  coal liquefaction,  coal tar distillation and fuel gas making</t>
  </si>
  <si>
    <t>Refining of used oil by using thin film evaporation/vacuum distillation with clay treatment</t>
  </si>
  <si>
    <t>Textile spinning, sizing and weaving mills (wastewater generation≥ 10 KLD )</t>
  </si>
  <si>
    <t>Fertilizers (Calcium Ammonium Nitrate/Ammonium Nitrate)</t>
  </si>
  <si>
    <t>Synthetic fibres including  rayon, tyre cord, viscose filament yarn/staple fibre, acrylic  fibres  using cleaner/gaseous fuel</t>
  </si>
  <si>
    <t>Synthetic fibres manufacturing</t>
  </si>
  <si>
    <t xml:space="preserve">Synthetic fibres-PSF &amp; PFY, generated from petrochemical </t>
  </si>
  <si>
    <t>Synthetic  fibres  including  rayon, tyre cord, viscose filament yarn/staple fibre, acrylic  fibres</t>
  </si>
  <si>
    <t>Stone crushing/griniding/washing &amp; screening of riverbed material(s)</t>
  </si>
  <si>
    <t>Forging of  ferrous  and  non- ferrous metals (cold forging, without any heat treatment)</t>
  </si>
  <si>
    <t>Manufacturing of coir/coir pith  and  coir products</t>
  </si>
  <si>
    <t>Ceramics/ Glass /Earthen potteries and tile manufacturing (using only electrical kiln)</t>
  </si>
  <si>
    <t>Fish feed, poultry feed and cattle feed (with boiler)</t>
  </si>
  <si>
    <t>Fish feed, poultry feed and cattle feed (without boiler)</t>
  </si>
  <si>
    <t>Digital  printing  on flex /vinyl, PVC etc. (more than 5 machines)</t>
  </si>
  <si>
    <t>Printing press (newspaper, books, magzines, etc./ Gravure  printing</t>
  </si>
  <si>
    <t>Rubber goods industry (with solid fuel/oil based boiler)</t>
  </si>
  <si>
    <t xml:space="preserve">Railway sidings only for defence purpose  </t>
  </si>
  <si>
    <t>Collection Centers (Without depollution, dismantling and shredding)</t>
  </si>
  <si>
    <t xml:space="preserve">Manufacturing of solar module/ non-conventional energy apparatus  </t>
  </si>
  <si>
    <t xml:space="preserve">Municipal Solid Waste Management Facility </t>
  </si>
  <si>
    <t>Municipal Solid Waste Management Facility (Sanitary landfill/ Integrated Sanitary landfill with material recycling facility/ refused derived fuel, etc.)</t>
  </si>
  <si>
    <t>Bio-mining of legacy waste projects</t>
  </si>
  <si>
    <t xml:space="preserve">Municipal Solid Waste Bio-methaneation plant (Quantity of MSW ≥ 5 TPD) </t>
  </si>
  <si>
    <t xml:space="preserve">Municipal Solid Waste Material Recovery Facility (Quantity of MSW ≥ 5 TPD) </t>
  </si>
  <si>
    <t xml:space="preserve">Municipal Solid Waste Composting Facility (Quantity of MSW ≥ 5 TPD) </t>
  </si>
  <si>
    <t>Oil and gas transportation pipeline 
(excluding pipelinecovered under definition of isolated storage of hazardous chemicals, as per Manufacture, Storage, and Import of Hazardous Chemicals Rules, 1989)</t>
  </si>
  <si>
    <t>Manufacturing of explosives, detonators, fuses, etc.</t>
  </si>
  <si>
    <t>Standalone manufacturing of concrete admixtures up to 1000 MT per Month capacity by physical mixing (without boiler and reactor and no generation of Wastewater)</t>
  </si>
  <si>
    <t xml:space="preserve">Industries engaged in recycling/reprocessing/ recovery/reuse of Hazardous Waste under Schedule IV of H&amp;OW(M &amp; TBM) Rules, 2016 - Items, namely, Spent catalysts containing nickel, cadmium, zinc, copper, arsenic, vanadium, and cobalt, including dry battery (except lead) and cleared metal catalyst. </t>
  </si>
  <si>
    <t>HCFs with captive incinerator, irrespective of number of beds</t>
  </si>
  <si>
    <t>more than 1000 bedded HCFs</t>
  </si>
  <si>
    <t>501 to 1,000 bedded HCFs</t>
  </si>
  <si>
    <t>201 to 500 bedded HCFs</t>
  </si>
  <si>
    <t>51 to 200 bedded HCFs</t>
  </si>
  <si>
    <t>11 to 50 bedded HCFs</t>
  </si>
  <si>
    <t>Up to 10 bedded HCFs</t>
  </si>
  <si>
    <t>Non-bedded HCFs</t>
  </si>
  <si>
    <t>Health Care Facilities (HCFs) (as defined under Bio-medical Waste Management Rules, 2016)</t>
  </si>
  <si>
    <t>S. No.</t>
  </si>
  <si>
    <r>
      <t>PI</t>
    </r>
    <r>
      <rPr>
        <b/>
        <vertAlign val="subscript"/>
        <sz val="11"/>
        <rFont val="Times New Roman"/>
        <family val="1"/>
      </rPr>
      <t>W</t>
    </r>
  </si>
  <si>
    <r>
      <t>PI</t>
    </r>
    <r>
      <rPr>
        <b/>
        <vertAlign val="subscript"/>
        <sz val="11"/>
        <rFont val="Times New Roman"/>
        <family val="1"/>
      </rPr>
      <t>H</t>
    </r>
  </si>
  <si>
    <r>
      <t>PI</t>
    </r>
    <r>
      <rPr>
        <b/>
        <vertAlign val="subscript"/>
        <sz val="11"/>
        <rFont val="Times New Roman"/>
        <family val="1"/>
      </rPr>
      <t>A</t>
    </r>
  </si>
  <si>
    <t>Tyre retraders</t>
  </si>
  <si>
    <t>Nuclear energy-based power plants (upto 220 MW)</t>
  </si>
  <si>
    <t>Nuclear energy-based power plants (&gt; 220 MW)</t>
  </si>
  <si>
    <t>Cutting,  sizing  and  polishing  of marble, granite and other stone</t>
  </si>
  <si>
    <t>Coir fibre/pith processing units generating effluent</t>
  </si>
  <si>
    <t>Coir bleaching and dyeing/printing units</t>
  </si>
  <si>
    <t>Coir/pith processing and/or Manufacturing of coir products from coir (only dry process and without boiler)</t>
  </si>
  <si>
    <t>Integrated unit for production of ammonia through hydrogen generated by pyrolysis/gasification</t>
  </si>
  <si>
    <t>Integrated unit for production of ammonia through hydrogen generated by electrolysis using renewable energy (capacity ≥ 15 TPD)</t>
  </si>
  <si>
    <t>Integrated unit for production of ammonia through hydrogen generated by electrolysis using renewable energy (Capacity &lt; 15 TPD)</t>
  </si>
  <si>
    <t xml:space="preserve">Hydrogen production through pyrolysis/gasification </t>
  </si>
  <si>
    <t>Hydrogen production through electrolysis using raw/sea water and renewable energy (capacity ≥ 2.5 TPD)</t>
  </si>
  <si>
    <t>Hydrogen production through electrolysis using raw/sea water and renewable energy (capacity &lt; 2.5 TPD)</t>
  </si>
  <si>
    <t>Hydrogen production through electrolysis (by renewal energy) on BOO/BOOT/BOT, mode etc., located in the premises of end user industry and directly using de-mineralized water &amp; other utilities (cooling tower, ETP, etc.) sourced from end user industry</t>
  </si>
  <si>
    <t>Standalone production of Hydrogen and/or Ammonia (without captive power plant using fossil fuel)</t>
  </si>
  <si>
    <t>CBG plants irrespective of feed stock- MSW, agro-residue, energy crops/grass/weeds, animal waste, press mud, etc. (apart from industrial/ process waste) generating wastewater of 50 KLD or above</t>
  </si>
  <si>
    <t>CBG plants irrespective of feed stock- MSW, agro-residue, energy crops/grass/weeds, animal waste, press mud, etc. (apart from industrial/ process waste) generating wastewater less than 50 KLD</t>
  </si>
  <si>
    <t>CBG plants irrespective of feed stock- MSW, agro-residue, energy crops/grass/weeds, animal waste, press mud, etc. (apart from industrial/ process waste), not discharging any wastewater  and producing by-products- (i) Fermented Organic Manure (FOM)/ Liquid Fermented Organic Manure (LFOM)/ enriched manure and/or (ii) Briquette/pellet using fuel.</t>
  </si>
  <si>
    <t>Blue</t>
  </si>
  <si>
    <t>CBG plants irrespective of feed stock- MSW, agro-residue, energy crops/grass/weeds, animal waste, press mud, etc. (apart from industrial/ process waste), not discharging any wastewater and producing by-products- (i) Fermented Organic Manure (FOM)/ Liquid Fermented Organic Manure (LFOM)/ enriched manure and/or (ii) Briquette/pellet using electricity.</t>
  </si>
  <si>
    <t>CBG plants based on industrial/ process waste.</t>
  </si>
  <si>
    <t>Mini Hydel power plants (Capacity from more than 25 MW and up to 50 MW)</t>
  </si>
  <si>
    <t>E-Waste refurbishing centres</t>
  </si>
  <si>
    <t>i. Such types of plants are having either one or combinations of polluting activities viz. washing, metal surface finishing operations, pickling, plating, electro-plating, phosphating, painting, heat treatment etc. ii. Some of such plants may outsource some /all of the polluting activities or may have stand-alone units. In such cases, after thorough inspection of such units by concerned SPCB, recategorization of the industry shall be made accordingly.</t>
  </si>
  <si>
    <t>Asbestos is carcinogenic and banned in many countries.</t>
  </si>
  <si>
    <t>Industry engaged in dismantling (only) of e-waste, generated from the electrical and electronic equipment (EEE) listed in the E-Waste (Management) Rules 2022</t>
  </si>
  <si>
    <t xml:space="preserve">Generates large volume of
wastewater.
</t>
  </si>
  <si>
    <t>i. The used oil/waste oil generated
during repair and maintenance
need to be disposed through
authorized hazardous waste
recycler by service provider/OEM.
ii. Order dated 24.08.2017 in the
related matter with OA No.
83(THC) OF 2012 (Bharti Infratel
Ltd.) may be referred for issuance
of composite consent in case of
mobile towers</t>
  </si>
  <si>
    <t>IPC-I</t>
  </si>
  <si>
    <t>i. Standalone genset(s) of total capacity less than 1000 KVA may not require additional classification. The used oil/waste oil generated during repair and maintenance need to be disposed through authorized hazardous waste recycler by service provider/OEM. ii. Projects such data centers etc. having pollution potential due to gensets only, may be classified based on the capacity and fuel used</t>
  </si>
  <si>
    <t xml:space="preserve">
</t>
  </si>
  <si>
    <t>Power Generation Plants</t>
  </si>
  <si>
    <t>Overall safety aspects related with radioactivity is regulated by Atomic Energy Regulatory Board (AERB)</t>
  </si>
  <si>
    <t>e Overall safety aspects related with radioactivity is regulated by Atomic Energy Regulatory Board (AERB).</t>
  </si>
  <si>
    <t>The use of styrene in most methods of fibre glass production causes hazardous air pollution that is harmful to breathe at excessive levels</t>
  </si>
  <si>
    <t>Various hazardous chemicals are used in the manufacturing process. Accident/safety hazard is also associated with such sector during manufacturing and usages.</t>
  </si>
  <si>
    <t>Industry engaged in
recycling of e-waste
generated from the electrical
and electronic Equipment
(EEE) listed in the E-Waste
(Management) Rules 2022
using pyro/ hydro/ electrometallurgical processing and
recycling of plastic separated
from Waste EEE</t>
  </si>
  <si>
    <t>Explosives manufacture
contribute to release of hazardous
pollutants, including generation of
other toxic chemicals.
Accident/safety hazard is also
associated with such sector during
manufacturing and usages.</t>
  </si>
  <si>
    <t>The process may cause considerable emissions of volatile organic compounds (VOC)</t>
  </si>
  <si>
    <t>Airports generates mainly domestic sewage as wastewater. Emissions and generation of hazardous waste due to overall operations in airport are considered.</t>
  </si>
  <si>
    <t xml:space="preserve"> Sector generates bio-medical waste.
As per methodology scores assigned
to H.
</t>
  </si>
  <si>
    <t>Sector generates bio-medical waste. As per methodology scores assigned to H.</t>
  </si>
  <si>
    <t xml:space="preserve"> Sector generates bio-medical waste. As per methodology scores assigned to H.</t>
  </si>
  <si>
    <t>This also includes battery scrap, namely: Lead battery plates covered by ISRI, Code word “Rails” Battery lugs covered by ISRI, Code word “Rakes.” Scrap drained/dry while intact, lead batteries covered by ISRI, Code word “rains.”</t>
  </si>
  <si>
    <t>This also includes, battery scrap, namely: Lead battery plates covered by ISRI, Code word “Rails” Battery lugs covered by ISRI, Code word “Rakes.” Scrap drained/dry while intact, lead batteries covered by ISRI, Code word “rains</t>
  </si>
  <si>
    <t>Includes captive limestone mining</t>
  </si>
  <si>
    <t>Considering that dry formulation industries can also generate effluent because of equipment cleaning, the water pollution score is given</t>
  </si>
  <si>
    <t>e Silver salts and other chemicals are used</t>
  </si>
  <si>
    <t>Wastewater generating from public toilets, public taps, platform, and apron washing, coach cleaning, laundry, restaurants etc. Emissions and generation of hazardous waste due to overall operations are considered.</t>
  </si>
  <si>
    <t>Wastewater generating from various domestic uses as public toilets, public taps, platforms, and apron washing, restaurants etc.</t>
  </si>
  <si>
    <t>Fugitive emissions due to loading, unloading, storage and transportation of the minerals.</t>
  </si>
  <si>
    <t>Ship breaking releases a large number of pollutants, including toxic waste, used/waste oil, polychlorinated biphenyls, and heavy metals.</t>
  </si>
  <si>
    <t>Such unit uses distillation columns/ boilers etc</t>
  </si>
  <si>
    <t>e Most synthetic rubber is created from two materials, styrene, and butadiene.</t>
  </si>
  <si>
    <t>Process involves preparation of core wire / rod, preparation of dry mix, preparation of wet mix, application of coating by extrusion, baking of coated electrodes.</t>
  </si>
  <si>
    <t>Process involves making of glass bulb, forming reservoir in the glass tube for fluid, inserting fluid, scale marking. Use of fuel to heat the glass tubes and hydrofluoric acid to seal the scaling. Small quantities of spent acids are generated.</t>
  </si>
  <si>
    <t>i. During the construction phase, the sector is mainly air polluting. However, in post construction phase it is mainly water polluting due to generation of sewage. Consent to Establish/Operate to be taken as per EC conditions, as applicable. ii. Building construction project ≥ 5,000 sq. m., but &lt; 20,000 sq. m. built-up area (with connectivity to terminal STP) may not require separate classification. iii. For projects &lt; 5000 the wastewater shall be managed according to on-site sanitation methods as mentioned in the Manual on Sewerage and Sewage Treatment System (2013), published by the</t>
  </si>
  <si>
    <t>Emissions of benzene, hydrocarbons etc. are expected.</t>
  </si>
  <si>
    <t>Process may involve boiling in evaporators (multiple effect evaporators), centrifuging, iodization, mixing, etc</t>
  </si>
  <si>
    <t>Toxic fumes may be released</t>
  </si>
  <si>
    <t>Such projects involve use of hot mix plants, ready-mix concrete plants, construction activities generating fugitive emissions, etc.</t>
  </si>
  <si>
    <t>een Emissions in the form of VOCs and HC are generated</t>
  </si>
  <si>
    <t>In the process pigments, binders and solvents are used. VOCs are generated.</t>
  </si>
  <si>
    <t xml:space="preserve">Process using In-built
heaters.Washwater and fugitive
emission.
</t>
  </si>
  <si>
    <t>Due to spraying applications, emissions (HC) are generated</t>
  </si>
  <si>
    <t>Emissions of VOCs and HAPs. Raw materials are polyurethane, latex etc.</t>
  </si>
  <si>
    <t>Dairy farms having less than 15 animals do not require separate classification.</t>
  </si>
  <si>
    <t>Wastewater of high TDS of inorganic nature is generated</t>
  </si>
  <si>
    <t>Lead oxide, nitrous fumes are generated during cupellation and parting acid treatment, respectively contributing to the air emissions.The hazardous waste is generated during fire assay in the form of spent cupels bearing lead, spent acid, scrubbed water etc.</t>
  </si>
  <si>
    <t>i. Toxic wastewater is generated due to presence of Hydrofluoric acid (HF), Mixed Nitric HF (HF+HNO3), Phosphoric acid, Sulphuric acid (H2SO4), Hydrogen Peroxide, Isopropyl alcohol (IPA) / Methanol (Methanol Only), Stripper EKC-265 /ACT N396 (ACT N396 Only), BHF – 63 U, Choline etchant, etc. ii. The air pollutants which are being emitted during the manufacturing process are SiH4, PH3, B2H6, HF, HBr, DCS, NF3, SF6, BCl3, Cl2, HCL, NH3, C2F6, CHF3, CF4, C4F8, C2F6 etc. iii. Process waste, used oil etc. are generated as hazardous waste.</t>
  </si>
  <si>
    <t xml:space="preserve">Hazardous waste pre-processing facility including spent acid processing, spent solvent recovery, etc. </t>
  </si>
  <si>
    <t>i. Pyrolysis of biomass will generate syn gas and other condensable gases having hydrocarbons and other impurities. ii. Purification of gas will generate wastewater having high organic content and tarry residue as hazardous waste. iii. The process will generate fugitive emissions and due to pyrolysis operation.</t>
  </si>
  <si>
    <t>i. Ammonia manufacturing process (Haber process) and associated safety hazards remains same as per the chemical properties of ammonia. ii. Wastewater generation due to production of hydrogen through electrolysis and condensation of ammonia, other scrubbed liquid etc. iii.Generation of ETP sludge, exhausted membranes, molecular sieves, spent catalysts, etc. as hazardous waste.</t>
  </si>
  <si>
    <t>i. Type of electrolysers may include Alkaline Water Electrolyser (AWE), Proton Exchange Membrane (PEM), Solid Oxide Electrolyser Cell (SOEC) and Anion Exchange Membrane (AEM), etc. ii. Generation of DM reject, cooling tower blowdown, draining of alkaline/electrolyser water during maintenance, etc. as wastewater. iii. Generation of ETP sludge, exhausted membranes, molecular sieves, spent catalysts, etc. as hazardous waste</t>
  </si>
  <si>
    <t xml:space="preserve">i. DM water as feed water for
electrolyser and cooling/chilling water requirement to be met by the
end user industry.
ii. Wastewater and other waste
generated during O&amp;M shall also
be managed by the end user
industry.
</t>
  </si>
  <si>
    <t>Emissions during buffing</t>
  </si>
  <si>
    <t>Mainly extrusion process involving</t>
  </si>
  <si>
    <t>een The process involves mixing, mechanized compression and drying</t>
  </si>
  <si>
    <t>Fumes due to use of adhesives / gums.</t>
  </si>
  <si>
    <t>Obnoxious gases from welding.</t>
  </si>
  <si>
    <t xml:space="preserve"> RO Rejects. </t>
  </si>
  <si>
    <t xml:space="preserve">Dried tamarind fruits are cleaned,
soaked, and boiled in steam
jacketed kettle. Then pulp is
extracted in pulper and dried
in drum type drier.
</t>
  </si>
  <si>
    <t xml:space="preserve">Fugitive emissions from grinding
operations.
</t>
  </si>
  <si>
    <t>The sector may become green category if it generates wastewate</t>
  </si>
  <si>
    <t>The sector may become green category if it generates wastewater. The unit needs to be re-classified as per the methodology in case the capacity exceeds 1000 MT per Month.</t>
  </si>
  <si>
    <t>Such projects during O&amp;M operation will generate deposited sludge, spillage etc. in addition regular operation of handling of effluent and its disposal</t>
  </si>
  <si>
    <t xml:space="preserve"> PI may be considered as 90.</t>
  </si>
  <si>
    <t>d PI may be considered as 67.5.</t>
  </si>
  <si>
    <t>d PI may be considered as 12.5.</t>
  </si>
  <si>
    <t>i. Sand / riverbed material mining from riverbed and its floodplains may cause ecological disturbances, erosion of riverbed, change in hydro-geological conditions &amp; river ecosystem, etc. ii. Cluster mining means that the distance of mining lease area is less than 500 m from periphery of another lease area. iii. This categorization is made considering the ecological damages and not based on pollution potential/index. iv. Cluster mining as defined in ‘Enforcement &amp; Monitoring Guidelines for Sand Mining, 2020’, issued by MoEF&amp;CC. v. PI may be considered as 90 and 67.5 for red and orange category, respectively.</t>
  </si>
  <si>
    <t>Agro-produce processing units having capacity more than 0.5 TPD but less than 1 TPD, using only cleaner fuels -electricity/gaseous fuel (without effluent generation)</t>
  </si>
  <si>
    <t>Assembling units and mechanical workshops (without heat/surface treatment or spray painting)</t>
  </si>
  <si>
    <t>Bakery, confectionery, and sweets production) units having capacity more than 0.5 TPD but less than 1 TPD, using only cleaner fuels -electricity/gaseous fuel and with having permission to discharge in municipal sewerage system connected to terminal STP</t>
  </si>
  <si>
    <t>Cleaning and other brushes manufacturing through dry mechanical process (without moulding and without effluent/emission generation)</t>
  </si>
  <si>
    <t>Cattle/ fish/ poultry feed pellet making (only palletisation unit without boiler and effluent generation)</t>
  </si>
  <si>
    <t>Cement products (without using Asbestos) like pipe, pillar, jafri, well ring, blocks/tiles etc. (&lt;1 TPD)</t>
  </si>
  <si>
    <t>Decoration of ceramic cups &amp; plates by electric furnace</t>
  </si>
  <si>
    <t>Detergent powder manufacturing (handmade -without steam boiling / boiler)</t>
  </si>
  <si>
    <t>Digital Printing on flex /vinyl, PVC etc. (less than 5 machines)</t>
  </si>
  <si>
    <t>Distilled water using only electricity (&lt; 1 KLD capacity)</t>
  </si>
  <si>
    <t>DPC (paper coating) of copper and aluminium wire (only dry process)</t>
  </si>
  <si>
    <t>Food and food processing unit (having capacity more than 0.5 TPD but less than 1 TPD) using only cleaner fuels -electricity/gaseous fuel, with having permission to discharge in municipal sewerage system connected to terminal STP</t>
  </si>
  <si>
    <t>Fuel dispensing unit only without automobile servicing repairing and painting</t>
  </si>
  <si>
    <t>Herbal powder products making without extraction (dry process - without emissions/ effluent generation)</t>
  </si>
  <si>
    <t>Industrial items from engineering plastics by fabrication process only (without moulding)</t>
  </si>
  <si>
    <t>Manufacturing of all types of threads, cordage, twines etc. (without ginning)</t>
  </si>
  <si>
    <t>Manufacturing of cotton vicks, tapes, bandages, adsorbent cotton etc. ((dry process without boiler and effluent generation)</t>
  </si>
  <si>
    <t>Manufacturing of Domestic Hardware &amp; Utensils (Without heat/surface treatment/effluent generation)</t>
  </si>
  <si>
    <t>Manufacturing of products by only cutting/stitching/gumming  (without effluent/emissions generation)</t>
  </si>
  <si>
    <t xml:space="preserve">Manufacturing of products through physical mixing only like - Floor Polish, Nail Polish, Hair Oil, Shampoo, Tooth Powder, Tooth Paste, Perfume, Hand Sanitizer, (Micro and small scale operations) </t>
  </si>
  <si>
    <t>Manufacturing of sanitary napkins/ diapers fixing &amp; sealing (Small and Micro scale units without effluent/emission generation)</t>
  </si>
  <si>
    <t>Manufacturing of Stationery Items (by assembling, and cutting/punching/stapling/binding etc.)</t>
  </si>
  <si>
    <t>Metal fabrication works and hand tool manufacturing through machines (without heat/surface treatment or spray painting)</t>
  </si>
  <si>
    <t>Oil mill ghani and extraction no hydrogenation refining with capacity not exceeding 500 kg/day</t>
  </si>
  <si>
    <t>Packing of food items (without processing)</t>
  </si>
  <si>
    <t>Paints and varnishes mixing and blending (without ball mill and only dry process)</t>
  </si>
  <si>
    <t>Plastic wire, net, nivar and other products (dry process through looping, twisting, cutting etc.)</t>
  </si>
  <si>
    <t>Puffed rice/ murhi/ chura with capacity not exceeding 1 TPD per day</t>
  </si>
  <si>
    <t>Rice mills holler machine with capacity not exceeding 1 TPD per day</t>
  </si>
  <si>
    <t>Small scale restaurant/hotel without room/cloud kitchens/ Resorts (without stay/room facility)</t>
  </si>
  <si>
    <t>Sports Goods Manufacturing Units (without seasoning of woods)</t>
  </si>
  <si>
    <t xml:space="preserve">Mining lease area more than 5 hectares 
or Mining lease area up to 5 hectares which is part of cluster mining
</t>
  </si>
  <si>
    <t>Food and Food Processing, including fruits and vegetable processing</t>
  </si>
  <si>
    <t xml:space="preserve"> Food and Food Processing, including fruits and vegetable processing having Wastewater generation  &lt; 10  KLD (without boiler)</t>
  </si>
  <si>
    <t xml:space="preserve">Food and Food Processing, including fruits and vegetable processing having Wastewater generation  ≥ 10 KLD </t>
  </si>
  <si>
    <t>Railway Stations (Wastewater Generation ≥ 5 MLD)</t>
  </si>
  <si>
    <t>Industrial Sector</t>
  </si>
  <si>
    <t>EES-Industrial</t>
  </si>
  <si>
    <t>EES-Domestic</t>
  </si>
  <si>
    <t>Genset(s) of total capacity ≥ 1
MVA, using liquid fuel</t>
  </si>
  <si>
    <t>Service &amp; Infrastructure Sector</t>
  </si>
  <si>
    <t>Special Category Sector</t>
  </si>
  <si>
    <t>Railway sidings</t>
  </si>
  <si>
    <t>Button &amp; hooks manufacturing units (Dry mechanical process)</t>
  </si>
  <si>
    <t>Computer and peripheral assembling units.</t>
  </si>
  <si>
    <t>Engineering workshop, machine shop, fabrication shop, smithy shop, turning shop, cutting shop, jobbing and machining</t>
  </si>
  <si>
    <t>Electro magnets, fans, armature, coils and electro-magnetic instruments (Assembling only).</t>
  </si>
  <si>
    <t>Manufacturing of domestic flour mill (without plating, electroplating and heat treatment).</t>
  </si>
  <si>
    <t>Motor Rewinding</t>
  </si>
  <si>
    <t>Pump and motor assembling units.</t>
  </si>
  <si>
    <t>Transformer assembling units (only assembling and no repairing)</t>
  </si>
  <si>
    <t>Audio, Video and consumer electronic equipment assembly only</t>
  </si>
  <si>
    <t>Belt Fastner units without wet process</t>
  </si>
  <si>
    <t>Solar Energy Panel making by assembling only</t>
  </si>
  <si>
    <t>Weigh Bridge Assembling</t>
  </si>
  <si>
    <t>Winnowers up to 5 HP</t>
  </si>
  <si>
    <t xml:space="preserve">Wheat and rice threshers up to 5 HP </t>
  </si>
  <si>
    <t>Seed cleaners-up to 5 HP</t>
  </si>
  <si>
    <t>Grain Dries-upto 5 HP motive power</t>
  </si>
  <si>
    <t>Shell huskers upto 5 HP motive power</t>
  </si>
  <si>
    <t>Reapers upto 5 HP motive power</t>
  </si>
  <si>
    <t>Cotton celiniting machine</t>
  </si>
  <si>
    <t>Seed drills</t>
  </si>
  <si>
    <t>Other agricultural machinery</t>
  </si>
  <si>
    <t>Harvester grader, baler and other earth moving blades used in agricultural machines</t>
  </si>
  <si>
    <t>Low space gear for use in agricultural machines thrashers made of cast iron mild steel</t>
  </si>
  <si>
    <t>Dal mill machinery</t>
  </si>
  <si>
    <t>Rice mill machinery</t>
  </si>
  <si>
    <t>Oil crushers</t>
  </si>
  <si>
    <t>Oil crusher parts</t>
  </si>
  <si>
    <t>Room cooler desert type</t>
  </si>
  <si>
    <t>Air-conditioning ducting louvers , grills and other sheet fabrication</t>
  </si>
  <si>
    <t>Centrifugal pumps (assembling only)</t>
  </si>
  <si>
    <t xml:space="preserve">Air compressors upto 1 HP </t>
  </si>
  <si>
    <t>Screen/ Liners used in the fabrications for industries</t>
  </si>
  <si>
    <t>Hand Threading tap holders</t>
  </si>
  <si>
    <t>Assembling of Drilling machine upto 1000 rpm Bench and pedestal type</t>
  </si>
  <si>
    <t>Turning, Boarding and Trading Add as small single or multiple operation devices assembling unit</t>
  </si>
  <si>
    <t>Punch Grinder assembling unit</t>
  </si>
  <si>
    <t>Power hacksaw mechanical assembling unit</t>
  </si>
  <si>
    <t>Screw Presses (Manually operated)</t>
  </si>
  <si>
    <t>Hand Presses (manually operated)</t>
  </si>
  <si>
    <t>Coolant Pumps assembling unit</t>
  </si>
  <si>
    <t>Dog plates</t>
  </si>
  <si>
    <t>Machine vices and machine tool</t>
  </si>
  <si>
    <t xml:space="preserve">Carbide tipped tools single point/ Brazed carbide bits (machining) </t>
  </si>
  <si>
    <t>Weighing machines assembling unit</t>
  </si>
  <si>
    <t>Weighing bridges  assembling unit</t>
  </si>
  <si>
    <t>File mechanism (like a lever arch binder clip)</t>
  </si>
  <si>
    <t>Sewing machine, Domestic Hand operated, conventional type</t>
  </si>
  <si>
    <t>Household knitting machine</t>
  </si>
  <si>
    <t>Absolute filters for biological and air conditioning application</t>
  </si>
  <si>
    <t>Duplicating machines-other then those of special type</t>
  </si>
  <si>
    <t>Bottle -washes</t>
  </si>
  <si>
    <t>Double can mixer - dairy Equipment</t>
  </si>
  <si>
    <t>Micro pulverize- Dairy equipment</t>
  </si>
  <si>
    <t>Rotary dryers- Dairy equipment</t>
  </si>
  <si>
    <t>Basket type centrifuges</t>
  </si>
  <si>
    <t>Milk cooling and ghee settling equipment- Dairy Equipment</t>
  </si>
  <si>
    <t>Evaporating pans - Dairy equipment</t>
  </si>
  <si>
    <t>Butter chorn - Dairy equipment</t>
  </si>
  <si>
    <t>Curd Mills-Dairy equipment</t>
  </si>
  <si>
    <t>Agitater - Dairy equipment</t>
  </si>
  <si>
    <t>Storage tanks for dairies</t>
  </si>
  <si>
    <t>All poultry equipment</t>
  </si>
  <si>
    <t>Fabrication of tractor trawler</t>
  </si>
  <si>
    <t>Casting units - using pit furnace</t>
  </si>
  <si>
    <t>Steel doors &amp; shutter fabrication units</t>
  </si>
  <si>
    <t>Assembly of drone</t>
  </si>
  <si>
    <t>Lathe and welding sets (only assembly without casting)</t>
  </si>
  <si>
    <t>Frying of dals and other cereals etc.</t>
  </si>
  <si>
    <t>Manufacturing of boora (cottage scale)</t>
  </si>
  <si>
    <t>Manufacturing of pickle and papad up to 500 kg/day</t>
  </si>
  <si>
    <t>Processing of dry rice (cottage scale)</t>
  </si>
  <si>
    <t>Processing of edible nuts except oil expeller.</t>
  </si>
  <si>
    <t>Processing of groundnuts except oil expeller.</t>
  </si>
  <si>
    <t>Honey Processing</t>
  </si>
  <si>
    <t xml:space="preserve"> Spices Mills (Masala) upto 500 kg/day</t>
  </si>
  <si>
    <t>Cottage scale chanachur/ dalmut and laddoo from puffed and beaten rice muri and chira  (capital investment less than 5 lakhs)</t>
  </si>
  <si>
    <t>Cottage Scale Chatua production unit</t>
  </si>
  <si>
    <t>Food items processing unit (cottage scale operations)</t>
  </si>
  <si>
    <t>Makhana processing unit with capacity (cottage scale)</t>
  </si>
  <si>
    <t>Gazak gurdani revadi namkeen using electric heating only (cottage scale)</t>
  </si>
  <si>
    <t>Noodles/ dough products/  mango papad, etc. using only cold process</t>
  </si>
  <si>
    <t>Rice husking (cottage scale)</t>
  </si>
  <si>
    <t>Syrup sharbat manufacturing (cottage scale)</t>
  </si>
  <si>
    <t>Manufacturing of curtains, bed-covers and furnishings cloths (without dyeing &amp; printing)</t>
  </si>
  <si>
    <t>Manufacturing of products by only cutting/stitching/gumming (without effluent/emissions generation)</t>
  </si>
  <si>
    <t>Manufacturing of made-up canvas goods such as tents and sails etc.(without dyeing and printing)</t>
  </si>
  <si>
    <t>Exercise books</t>
  </si>
  <si>
    <t>Exercise registers</t>
  </si>
  <si>
    <t>Letter pads</t>
  </si>
  <si>
    <t>File covers</t>
  </si>
  <si>
    <t>File board</t>
  </si>
  <si>
    <t>Ball point pens</t>
  </si>
  <si>
    <t>Pen nibs</t>
  </si>
  <si>
    <t>Ball pens components excluding metallic tips</t>
  </si>
  <si>
    <t>Fountain pens components excluding metallic tips</t>
  </si>
  <si>
    <t>Pencils</t>
  </si>
  <si>
    <t>Hand stapling machine</t>
  </si>
  <si>
    <t>Paper pins</t>
  </si>
  <si>
    <t>Carbon paper (cottage scale)</t>
  </si>
  <si>
    <t>Typewriter ribbon (cottage scale)</t>
  </si>
  <si>
    <t>Hand numbering machines</t>
  </si>
  <si>
    <t>Pencil sharpeners</t>
  </si>
  <si>
    <t>Floor Polish, Nail Polish, Tooth Powder, Hair Oil, Shampoo and Tooth Paste (by physical blending only)</t>
  </si>
  <si>
    <t xml:space="preserve">Manufacturing of products through physical mixing only like - Floor polish, Nail polish, Hair Oil, Shampoo, Tooth powder, Tooth paste, Perfume, hand sanitizer, (Micro and small scale operations) </t>
  </si>
  <si>
    <t>Perfume manufacturing through mixing</t>
  </si>
  <si>
    <t>Manufacturing of hand sanitizer blending  and bottling only (cottage scale)</t>
  </si>
  <si>
    <t>Manufacturing of products through physical mixing only like - Floor polish, Nail polish, Hair Oil, Shampoo, Tooth powder, Tooth paste, Perfume, hand sanitizer, (Micro and small scale operations</t>
  </si>
  <si>
    <r>
      <t xml:space="preserve">Manufacturing of locks (without electroplating </t>
    </r>
    <r>
      <rPr>
        <i/>
        <sz val="12"/>
        <rFont val="Times New Roman"/>
        <family val="1"/>
      </rPr>
      <t xml:space="preserve">I </t>
    </r>
    <r>
      <rPr>
        <sz val="12"/>
        <rFont val="Times New Roman"/>
        <family val="1"/>
      </rPr>
      <t>anodizing).</t>
    </r>
  </si>
  <si>
    <t>Manufacturing of fork-knife, scissors.</t>
  </si>
  <si>
    <t>Manufacturing of screw, nut-bolts etc.</t>
  </si>
  <si>
    <t>Food safer-Metallic</t>
  </si>
  <si>
    <t>Meat safer-Metallic</t>
  </si>
  <si>
    <t>Metal cabinet- All type</t>
  </si>
  <si>
    <t>Steel trunk</t>
  </si>
  <si>
    <t>Tin containers</t>
  </si>
  <si>
    <t>CI Buckets</t>
  </si>
  <si>
    <t>Barrels</t>
  </si>
  <si>
    <t>Tin trays</t>
  </si>
  <si>
    <t>Drums</t>
  </si>
  <si>
    <t>GI Bath tubs</t>
  </si>
  <si>
    <t>Dust bins</t>
  </si>
  <si>
    <t>Sanitary fixtures -metallic</t>
  </si>
  <si>
    <t>Sockets end valves water pipe fittings</t>
  </si>
  <si>
    <t>MS Pipes fittings (machining work -cottage scale)</t>
  </si>
  <si>
    <t>MS Storage tanks upto 15,000 litres storage capacity</t>
  </si>
  <si>
    <t>Pressure stove</t>
  </si>
  <si>
    <t xml:space="preserve">Non-branded Wick stoves </t>
  </si>
  <si>
    <t>Lanterns</t>
  </si>
  <si>
    <t>Signal lamps</t>
  </si>
  <si>
    <t>Hand lamps</t>
  </si>
  <si>
    <t>Shoe backs</t>
  </si>
  <si>
    <t>Shoe eyelets</t>
  </si>
  <si>
    <t>Umbrella rib stand fitting</t>
  </si>
  <si>
    <t>Zip Fasteners Metallic</t>
  </si>
  <si>
    <t>Tin cutters</t>
  </si>
  <si>
    <t>Snap fasteners</t>
  </si>
  <si>
    <t>Pilier Proof caps</t>
  </si>
  <si>
    <t>Gun cases</t>
  </si>
  <si>
    <t>Crown corks (except for captive consumption)</t>
  </si>
  <si>
    <t>Doors metallic</t>
  </si>
  <si>
    <t>Ventilators metallic</t>
  </si>
  <si>
    <t>Windows metallic</t>
  </si>
  <si>
    <t>Rolling shutters</t>
  </si>
  <si>
    <t>Lantern bodies</t>
  </si>
  <si>
    <t>Lantern posts</t>
  </si>
  <si>
    <t>Aluminum furniture</t>
  </si>
  <si>
    <t xml:space="preserve">Adjustable hospital beds </t>
  </si>
  <si>
    <t>Hacksaw Frames</t>
  </si>
  <si>
    <t>Pliers</t>
  </si>
  <si>
    <t>Screw drivers</t>
  </si>
  <si>
    <t>Spanners</t>
  </si>
  <si>
    <t>Hammers</t>
  </si>
  <si>
    <t>Anvil</t>
  </si>
  <si>
    <t>Wood working saws</t>
  </si>
  <si>
    <t>Wrenches</t>
  </si>
  <si>
    <t>Knives</t>
  </si>
  <si>
    <t>Shearing blades</t>
  </si>
  <si>
    <t>Nail pullets</t>
  </si>
  <si>
    <t>Chisels</t>
  </si>
  <si>
    <t>Pincurs</t>
  </si>
  <si>
    <t>Wire cutters</t>
  </si>
  <si>
    <t>Hand Tools for Blacksmith,</t>
  </si>
  <si>
    <t>Other Hand Tools for carpentry,</t>
  </si>
  <si>
    <t>Other Hand Tools for Hand forging,</t>
  </si>
  <si>
    <t>Other Hand Tools for foundry</t>
  </si>
  <si>
    <t>Bolts and nuts - Except high tensile and speddal types</t>
  </si>
  <si>
    <t>Rivets of all types/including bifurcated</t>
  </si>
  <si>
    <t>Wire adjusting screws</t>
  </si>
  <si>
    <t>Tumbler locks</t>
  </si>
  <si>
    <t>Pad locks</t>
  </si>
  <si>
    <t>Safe/cabinet locks</t>
  </si>
  <si>
    <t>Door locks</t>
  </si>
  <si>
    <t>Locks bicycles</t>
  </si>
  <si>
    <t>Drawer locks and suitcase locks</t>
  </si>
  <si>
    <t>Chairs lashing</t>
  </si>
  <si>
    <t>Perian wheels</t>
  </si>
  <si>
    <t>Chaff cutters</t>
  </si>
  <si>
    <t>Chaff cutter blades</t>
  </si>
  <si>
    <t>Animal driven implements</t>
  </si>
  <si>
    <t>Crow bars</t>
  </si>
  <si>
    <t>Plough shears/iron ploughs</t>
  </si>
  <si>
    <t>Cultivators</t>
  </si>
  <si>
    <t>Disc Harrows</t>
  </si>
  <si>
    <t>Insecticide duster - Manual</t>
  </si>
  <si>
    <t>Insecticide sprayers - Manual</t>
  </si>
  <si>
    <t>Forks</t>
  </si>
  <si>
    <t>Hoes</t>
  </si>
  <si>
    <t>Levelers</t>
  </si>
  <si>
    <t>Mowers</t>
  </si>
  <si>
    <t>Pickers- Metallic</t>
  </si>
  <si>
    <t>Hand pumps</t>
  </si>
  <si>
    <t>Seed Treaters</t>
  </si>
  <si>
    <t>Hand shovels</t>
  </si>
  <si>
    <t>Sickles</t>
  </si>
  <si>
    <t>Seed bins</t>
  </si>
  <si>
    <t>Water lifters</t>
  </si>
  <si>
    <t>Kodali</t>
  </si>
  <si>
    <t>Other agricultural implements</t>
  </si>
  <si>
    <t>Wire nails</t>
  </si>
  <si>
    <t>Panel pins</t>
  </si>
  <si>
    <t>Wood screws</t>
  </si>
  <si>
    <t>Machine screws except socket head and special types</t>
  </si>
  <si>
    <t>Gate Hooks</t>
  </si>
  <si>
    <t>Shoe nails animal</t>
  </si>
  <si>
    <t>Hob nails</t>
  </si>
  <si>
    <t>Builders hardware</t>
  </si>
  <si>
    <t>Metallic washers</t>
  </si>
  <si>
    <t>Barbed wire</t>
  </si>
  <si>
    <t>Vitreous enamel hollow</t>
  </si>
  <si>
    <t>Razors</t>
  </si>
  <si>
    <t>Safety Pins</t>
  </si>
  <si>
    <t>Watch straps - Metallic</t>
  </si>
  <si>
    <t>Beam Scales</t>
  </si>
  <si>
    <t>Postal weighing scales</t>
  </si>
  <si>
    <t>Expanded metal</t>
  </si>
  <si>
    <t>Welded Wire metal units</t>
  </si>
  <si>
    <t>Wire gauge metallic</t>
  </si>
  <si>
    <t>Wire netting metallic</t>
  </si>
  <si>
    <t>Steel Wool</t>
  </si>
  <si>
    <t>Hair pins</t>
  </si>
  <si>
    <t>Metal fittings for leather goods Metal fittings and garments</t>
  </si>
  <si>
    <t>Metal fittings for garments</t>
  </si>
  <si>
    <t>Ghamelas</t>
  </si>
  <si>
    <t>Blacksmith bearths</t>
  </si>
  <si>
    <t>Brass Dampers</t>
  </si>
  <si>
    <t>Measuring tapes Steel</t>
  </si>
  <si>
    <t>Lamp holders</t>
  </si>
  <si>
    <t>Belts nuts acrown machining only</t>
  </si>
  <si>
    <t>Sheet metal fabrication</t>
  </si>
  <si>
    <t>Manufacturing of oil stoves (pressure and non-pressure).</t>
  </si>
  <si>
    <t>Stainless Steel utensils</t>
  </si>
  <si>
    <t>Spoons-Cutlery</t>
  </si>
  <si>
    <t>Forks -Cutlery</t>
  </si>
  <si>
    <t>Table knives/Household knives</t>
  </si>
  <si>
    <t>Bread cutters</t>
  </si>
  <si>
    <t>Other cutlery items</t>
  </si>
  <si>
    <t>Domestic utensils - Brass</t>
  </si>
  <si>
    <t>Domestic utensils - Bell/Metal</t>
  </si>
  <si>
    <t>Domestic utensils Bell / Metal</t>
  </si>
  <si>
    <t>Domestic utensils - Copper</t>
  </si>
  <si>
    <t>Domestic utensils Iron</t>
  </si>
  <si>
    <t>Domestic utensils - Silver</t>
  </si>
  <si>
    <t>Domestic utensils - Bronze</t>
  </si>
  <si>
    <t>Domestic utensils-German</t>
  </si>
  <si>
    <t>Gas appliances such as ovens etc</t>
  </si>
  <si>
    <t>Gas lighters-Mechanical</t>
  </si>
  <si>
    <t>Sun shades- Auto</t>
  </si>
  <si>
    <t>Side lamps assembly-auto</t>
  </si>
  <si>
    <t>Spot lamp assembly-auto</t>
  </si>
  <si>
    <t>Stop lamp assembly-auto</t>
  </si>
  <si>
    <t>Tail lamp assembly-auto</t>
  </si>
  <si>
    <t>Ash trays-car fittings</t>
  </si>
  <si>
    <t>Battery cell tester</t>
  </si>
  <si>
    <t>Electrical fuse boxes-auto</t>
  </si>
  <si>
    <t>Electrical fuse-auto</t>
  </si>
  <si>
    <t>Exhaust mufflers-auto other than double coil exhaust mufflers</t>
  </si>
  <si>
    <t>Fuel tank caps-auto</t>
  </si>
  <si>
    <t>Fuel lines-auto</t>
  </si>
  <si>
    <t>Armature tester</t>
  </si>
  <si>
    <t>Battery terminal lifters</t>
  </si>
  <si>
    <t>Condensers testers</t>
  </si>
  <si>
    <t>Resistance testers</t>
  </si>
  <si>
    <t>Femmers spoons and hammers</t>
  </si>
  <si>
    <t>Feeler gauges</t>
  </si>
  <si>
    <t>Flaring Tools</t>
  </si>
  <si>
    <t>Gear flushers</t>
  </si>
  <si>
    <t>Puller of all types</t>
  </si>
  <si>
    <t>Ring expanders</t>
  </si>
  <si>
    <t>Ring compressors</t>
  </si>
  <si>
    <t>Screw extractors</t>
  </si>
  <si>
    <t>Spark plug cleaners</t>
  </si>
  <si>
    <t>Spark plug tester</t>
  </si>
  <si>
    <t>Stud removers - extractors</t>
  </si>
  <si>
    <t>Toe in gauges</t>
  </si>
  <si>
    <t>Tyre valve pullout tools</t>
  </si>
  <si>
    <t>Tube cutter</t>
  </si>
  <si>
    <t>Flanging tools</t>
  </si>
  <si>
    <t>Valve lifters</t>
  </si>
  <si>
    <t>Valve replacing and resetting tools</t>
  </si>
  <si>
    <t>Camber testing equipment</t>
  </si>
  <si>
    <t>Painting equipment's like spray guns etc</t>
  </si>
  <si>
    <t>Grease guns</t>
  </si>
  <si>
    <t>Tyre inflators-Bath hand and foot operated</t>
  </si>
  <si>
    <t>Electric Horns-auto</t>
  </si>
  <si>
    <t>Auto rubber components and follows</t>
  </si>
  <si>
    <t>Brake pedals,</t>
  </si>
  <si>
    <t>Clutch pedals</t>
  </si>
  <si>
    <t>Dust covers</t>
  </si>
  <si>
    <t>Wiper blade components</t>
  </si>
  <si>
    <t>Windscreen beading</t>
  </si>
  <si>
    <t>Door</t>
  </si>
  <si>
    <t>Rubber Beading</t>
  </si>
  <si>
    <t>Rubber mats</t>
  </si>
  <si>
    <t>Spokes and nipples- auto-cycle other than cowaged type</t>
  </si>
  <si>
    <t>Sun Visors-Auto</t>
  </si>
  <si>
    <t>Auto parts components and ancillaries &amp; garage equipment (assembling only)</t>
  </si>
  <si>
    <t>Cycle frames</t>
  </si>
  <si>
    <t>BB Axle</t>
  </si>
  <si>
    <t>BB Cups</t>
  </si>
  <si>
    <t>BB Shells</t>
  </si>
  <si>
    <t>Bicycle tube valves</t>
  </si>
  <si>
    <t>Handles bicycles</t>
  </si>
  <si>
    <t>Bolts and studs and screw- All types Bicycles</t>
  </si>
  <si>
    <t>Bells-Bicycles</t>
  </si>
  <si>
    <t>Carrier Bicycles</t>
  </si>
  <si>
    <t>Chains cycles</t>
  </si>
  <si>
    <t>Chain -wheels and adjusters</t>
  </si>
  <si>
    <t>Chain covers</t>
  </si>
  <si>
    <t>Cones covers</t>
  </si>
  <si>
    <t>Cotter pins cycle</t>
  </si>
  <si>
    <t>Crank shafts cycle</t>
  </si>
  <si>
    <t>Crank forging-cycle</t>
  </si>
  <si>
    <t>Grown outer cover</t>
  </si>
  <si>
    <t>D nuts-cycle</t>
  </si>
  <si>
    <t>Bye bolt cups-cycle</t>
  </si>
  <si>
    <t>Fork handles-cycle</t>
  </si>
  <si>
    <t>Frame collars-cycle</t>
  </si>
  <si>
    <t>Guide pins cycle</t>
  </si>
  <si>
    <t>Handle bar grips</t>
  </si>
  <si>
    <t>Hub oil clips-bicycle</t>
  </si>
  <si>
    <t>Hub out put bicycle</t>
  </si>
  <si>
    <t>Lock nuts and rings bicycle</t>
  </si>
  <si>
    <t>Lugs all types-Bicycle</t>
  </si>
  <si>
    <t>Mudguards-Bicycle</t>
  </si>
  <si>
    <t>Lamp Brackets-Bicycle</t>
  </si>
  <si>
    <t>Pedal assembly cycle</t>
  </si>
  <si>
    <t>Saddle cycle</t>
  </si>
  <si>
    <t>Shackle rivote-cycle</t>
  </si>
  <si>
    <t>Stand- cycle</t>
  </si>
  <si>
    <t>Spokes and nipples cycle</t>
  </si>
  <si>
    <t>Hubs and cups-bicycle</t>
  </si>
  <si>
    <t>Rims-Cycle Except for captive consumption</t>
  </si>
  <si>
    <t>Other cycle parts and accessories except free wheel</t>
  </si>
  <si>
    <t>Tricycles</t>
  </si>
  <si>
    <t>Tricycles -parts and accessories</t>
  </si>
  <si>
    <t>Perambulator</t>
  </si>
  <si>
    <t>Perambulator parts and accessories</t>
  </si>
  <si>
    <t>Animal drawn carriage fitting, Tonga parts and wheeling</t>
  </si>
  <si>
    <t>Hand drawn carriage fitting, Tonga parts and wheeling</t>
  </si>
  <si>
    <t>Wheel barrows</t>
  </si>
  <si>
    <t>Animal-drawn vehicles</t>
  </si>
  <si>
    <t>Hand drawn parts of all types</t>
  </si>
  <si>
    <t>Manufacturing of rickshaws tanga bullock carts hand drawn vehicles (assembly only)</t>
  </si>
  <si>
    <t>Manufacturing of carrom boards and tables for billiards, table tennis and others.</t>
  </si>
  <si>
    <t>Manufacturing of billiard sticks, hockey sticks, cricket bats, stumps and others.</t>
  </si>
  <si>
    <t>Manufacturing of rackets for badminton, lawn tennis, table tennis, etc.</t>
  </si>
  <si>
    <t>Manufacturing of balls including those of billiards.</t>
  </si>
  <si>
    <t>Manufacturing of sports kit.</t>
  </si>
  <si>
    <t>All types of sports nets</t>
  </si>
  <si>
    <t>Shuttle cooks</t>
  </si>
  <si>
    <t>Hockey Sticks</t>
  </si>
  <si>
    <t>Protective equipment's for sport, like pads, gloves etc, soft Leather goods</t>
  </si>
  <si>
    <t>Crickets and hockey balls</t>
  </si>
  <si>
    <t>Football, Valley ball and basket ball covers</t>
  </si>
  <si>
    <t>Manufacturing of raincoats, hats, caps and school bags.</t>
  </si>
  <si>
    <t>Manufacturing of brushes/dusters and similar articles of feathers.</t>
  </si>
  <si>
    <t>Broom Sticks manufacturing with artificial dying and bleaching without generating trade effluents.</t>
  </si>
  <si>
    <t>Paint brushes</t>
  </si>
  <si>
    <t>Hair brushes</t>
  </si>
  <si>
    <t>Fibre brushes</t>
  </si>
  <si>
    <t>Tooth brushes</t>
  </si>
  <si>
    <t>Brushes Natural bristles</t>
  </si>
  <si>
    <t>Other brushes</t>
  </si>
  <si>
    <t>Brooms of all types</t>
  </si>
  <si>
    <t>Steel scrubs manufacturing</t>
  </si>
  <si>
    <t>Abrasives assembly</t>
  </si>
  <si>
    <t>Common salt crushing and packing units.</t>
  </si>
  <si>
    <t>Manufacturing of advertising sign-boards and displays etc.</t>
  </si>
  <si>
    <t>Manufacturing of frames for spectacles (only assembling)</t>
  </si>
  <si>
    <t>Manufacturing of weighing machines/balance machine.</t>
  </si>
  <si>
    <t>Manufacturing of nets (except mosquito nets).</t>
  </si>
  <si>
    <t>Manufacturing of tapes, niwar and wicks etc.</t>
  </si>
  <si>
    <t>Manufacturing of handicraft/decorative/fancy items, etc.</t>
  </si>
  <si>
    <t>Various types of Hand Tools manufacturing.</t>
  </si>
  <si>
    <t>Assembly of wooden boats &amp; trawlers</t>
  </si>
  <si>
    <t>Book Binding</t>
  </si>
  <si>
    <t>Measuring Tapes-Cotton</t>
  </si>
  <si>
    <t>Umbrellas</t>
  </si>
  <si>
    <t>Water meters</t>
  </si>
  <si>
    <t>Mechanical toys</t>
  </si>
  <si>
    <t>Non mechanical toys</t>
  </si>
  <si>
    <t>Cufflinks</t>
  </si>
  <si>
    <t>Tie-pins</t>
  </si>
  <si>
    <t>Metallic dress buckles</t>
  </si>
  <si>
    <t>Settable hinges</t>
  </si>
  <si>
    <t>Absorbent cotton</t>
  </si>
  <si>
    <t>Cigarette lighters</t>
  </si>
  <si>
    <t>Musical instruments (assembling)</t>
  </si>
  <si>
    <t>Electric lamp (bulb) manufacturing (without using mercury)</t>
  </si>
  <si>
    <t>Power Press</t>
  </si>
  <si>
    <t>Bandage cloth by cutting and stitching &amp; no chemical treatment.</t>
  </si>
  <si>
    <t>Quilts, Razais etc.</t>
  </si>
  <si>
    <t>Plastic wire products (dry process through looping, twisting, cutting etc.)</t>
  </si>
  <si>
    <t>Cleaning sponge and scrub making (Through only cutting &amp; pasting)</t>
  </si>
  <si>
    <t>power loom shuttles &amp; pickers manufacturing assembly</t>
  </si>
  <si>
    <t>Assembly of household appliances and kitchen equipment (only dry process without boiler and effluent generation)</t>
  </si>
  <si>
    <t>Manufacturing of cotton ginning machine</t>
  </si>
  <si>
    <t>Oranmental fish tank</t>
  </si>
  <si>
    <t>Baby beds manufacturing</t>
  </si>
  <si>
    <t>Fodders cutting machine (assembly units)</t>
  </si>
  <si>
    <t>Poly bags cutting &amp; stitching less than 50 machines using machine and using motor</t>
  </si>
  <si>
    <t>Bath mat stitching only</t>
  </si>
  <si>
    <t>Seat cushions</t>
  </si>
  <si>
    <t>Seeds processing units/hybrid seeds processing- mechanized process</t>
  </si>
  <si>
    <t>Staple machines (assembling only)</t>
  </si>
  <si>
    <t>Re-packing of finished products (Dry products)</t>
  </si>
  <si>
    <t>Chewing gum packing</t>
  </si>
  <si>
    <t>Packing of food items using mechanized process (only packaging not manufacturing)</t>
  </si>
  <si>
    <t>Grading and packaging of products</t>
  </si>
  <si>
    <t>Chewing tobacco packaging unit (only packaging without blending and formulation)</t>
  </si>
  <si>
    <t>Gutka panmasala packing units (packaging only)</t>
  </si>
  <si>
    <t>Packing and processing of items using mechanized process (dry process no effluent/emission generation)</t>
  </si>
  <si>
    <t>Resorts (without stay/room facility)</t>
  </si>
  <si>
    <t>Concrete mixers upto 5 meter cube capacity</t>
  </si>
  <si>
    <t>Cotton ginning knives</t>
  </si>
  <si>
    <t>Tea cutting knives</t>
  </si>
  <si>
    <t>Three knives trimmer and envelope</t>
  </si>
  <si>
    <t>Clicking knives for leather industry</t>
  </si>
  <si>
    <t>Chopping knives and lancets for match industry</t>
  </si>
  <si>
    <t>Elastic shredding and granulating, knives</t>
  </si>
  <si>
    <t>Knives and shearing blades (all type including those for metal paper bamboo)</t>
  </si>
  <si>
    <t>Doctor blades</t>
  </si>
  <si>
    <t>Stainless Steel refiner / bar knives</t>
  </si>
  <si>
    <t>Bend saw blades for cutting wooden logs</t>
  </si>
  <si>
    <t>Table Clocks Pendulum type both with mech movement transistorized movement except lever type clocks</t>
  </si>
  <si>
    <t>Wall clocks, Pendulum type both with mech movement transistorized movement except lever type clocks</t>
  </si>
  <si>
    <t>Time-pieces, Mechanical Winding with alarm conventional</t>
  </si>
  <si>
    <t>Watch dials except ornamental high priced dials simple dials</t>
  </si>
  <si>
    <t>Rental vehicle services</t>
  </si>
  <si>
    <t>Juggary/gurd from cane juice capacity not exceeding 500 kg per day</t>
  </si>
  <si>
    <t>Service of electrical items</t>
  </si>
  <si>
    <t>LPG godown</t>
  </si>
  <si>
    <t>Agriculture tools hire service</t>
  </si>
  <si>
    <t>Building &amp; concrete equipment hire sevices</t>
  </si>
  <si>
    <t>Gas stove repairing</t>
  </si>
  <si>
    <t>Internet café</t>
  </si>
  <si>
    <t>IT enabled service</t>
  </si>
  <si>
    <t>Light &amp; sound hire service</t>
  </si>
  <si>
    <t>Photo and video albums</t>
  </si>
  <si>
    <t>Power tools &amp; equipments hire services</t>
  </si>
  <si>
    <t>Swimming pool</t>
  </si>
  <si>
    <t>Digital printing of paper</t>
  </si>
  <si>
    <t>Warehouse having area 2000m2 &lt;20000 m2</t>
  </si>
  <si>
    <t>Cement godown</t>
  </si>
  <si>
    <t>Catering services foods on tiffins basis self helf foodsars services</t>
  </si>
  <si>
    <t xml:space="preserve">Dairy farms below 15 animals </t>
  </si>
  <si>
    <t>Agricultural services not elsewhere classified (like harvesting &amp; threshing).</t>
  </si>
  <si>
    <t>Distributors of agricultural machinery and equipment.</t>
  </si>
  <si>
    <t>Distributor of industrial machinery and equipment other than electrical.</t>
  </si>
  <si>
    <t>Floriculture &amp; Horticulture.</t>
  </si>
  <si>
    <t>Inland water fishing.</t>
  </si>
  <si>
    <t>Ocean, sea and coastal fishing.</t>
  </si>
  <si>
    <t>Sun drying of fruits &amp; vegetables.</t>
  </si>
  <si>
    <t>Sun drying of fish.</t>
  </si>
  <si>
    <t>Soil conservation services.</t>
  </si>
  <si>
    <t>Scientific services like soil testing.</t>
  </si>
  <si>
    <t>Timber works such as fixing of doors, windows and panels etc.</t>
  </si>
  <si>
    <t>Units carrying Electrical installation work for constructions.</t>
  </si>
  <si>
    <t>Beauty Parlour</t>
  </si>
  <si>
    <t>Marketing/Industrial Consultancy/Advertising Agencies</t>
  </si>
  <si>
    <t>Mushroom cultivation under controlled conditions/temperature</t>
  </si>
  <si>
    <t>Preparation of Photo identify card by using video camera-laser printing</t>
  </si>
  <si>
    <t>Domestic flour mill</t>
  </si>
  <si>
    <t>Gud manufacturing units (without Boiler) for Self use</t>
  </si>
  <si>
    <t>IT projects up to 2,000 Sq. mtr. built up area  and DG set capacity&lt; 15 KVA</t>
  </si>
  <si>
    <t>(a) Building &amp; construction projects up to 2,000 Sq. mtr. built up area (b) land/area development project up to 01 hectare</t>
  </si>
  <si>
    <t>Logistic industries</t>
  </si>
  <si>
    <t>Gym</t>
  </si>
  <si>
    <t>Recording studio</t>
  </si>
  <si>
    <t>Dance studio</t>
  </si>
  <si>
    <t>Picnic spots</t>
  </si>
  <si>
    <t>Poultry less than 5000 birds</t>
  </si>
  <si>
    <t>Bee keeping</t>
  </si>
  <si>
    <t>Repair and overhaul of industrial/marine gas turbine on job work basis</t>
  </si>
  <si>
    <t>Repair and overhaul of air craft engines on job work basis</t>
  </si>
  <si>
    <t>Bicycle repairing and servicing centre</t>
  </si>
  <si>
    <t>Photo lab capital investment &lt; rs 20 lakhs</t>
  </si>
  <si>
    <t>All types of household and agricultural items repair and manufacturing servicing job work</t>
  </si>
  <si>
    <t>Hardware items packing and trading</t>
  </si>
  <si>
    <t>Icecream kulfi with freezer only storage and distribution</t>
  </si>
  <si>
    <t>IT industry having discharge less than 10 KLD</t>
  </si>
  <si>
    <t>Packing of agricultural forest produce under controlled temperature mechanized process</t>
  </si>
  <si>
    <t>Plumbering and fixtures job work</t>
  </si>
  <si>
    <t>Typing centre xeroxing</t>
  </si>
  <si>
    <t>Dairy farming rural area focal points periphery of 500 meter</t>
  </si>
  <si>
    <t>Main Sector</t>
  </si>
  <si>
    <t>Sector type</t>
  </si>
  <si>
    <t>Pollution Index</t>
  </si>
  <si>
    <t>Sector/Activity Name</t>
  </si>
  <si>
    <t>Manufacturing of non-alcoholic beverages-Waste water generation  ≥ 100 KLD</t>
  </si>
  <si>
    <t>Manufacturing of non-alcoholic beverages-Waste water generation &lt; 100 KLD</t>
  </si>
  <si>
    <t>Sewage Treatment Plant (STP)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</si>
</sst>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Times New Roman"/>
      <scheme val="minor"/>
    </font>
    <font>
      <sz val="11"/>
      <color rgb="FF000000"/>
      <name val="Times New Roman"/>
      <family val="1"/>
    </font>
    <font>
      <b/>
      <sz val="11"/>
      <name val="Times New Roman"/>
      <family val="1"/>
    </font>
    <font>
      <sz val="11"/>
      <name val="Times New Roman"/>
      <family val="1"/>
    </font>
    <font>
      <strike/>
      <sz val="11"/>
      <name val="Times New Roman"/>
      <family val="1"/>
    </font>
    <font>
      <b/>
      <strike/>
      <sz val="11"/>
      <name val="Times New Roman"/>
      <family val="1"/>
    </font>
    <font>
      <b/>
      <vertAlign val="subscript"/>
      <sz val="11"/>
      <name val="Times New Roman"/>
      <family val="1"/>
    </font>
    <font>
      <sz val="11"/>
      <color theme="0"/>
      <name val="Times New Roman"/>
      <family val="1"/>
    </font>
    <font>
      <b/>
      <sz val="12"/>
      <name val="Times New Roman"/>
      <family val="1"/>
    </font>
    <font>
      <sz val="12"/>
      <name val="Times New Roman"/>
      <family val="1"/>
    </font>
    <font>
      <i/>
      <sz val="12"/>
      <name val="Times New Roman"/>
      <family val="1"/>
    </font>
    <font>
      <sz val="12"/>
      <color rgb="FF000000"/>
      <name val="Times New Roman"/>
      <family val="1"/>
    </font>
  </fonts>
  <fills count="6">
    <fill>
      <patternFill patternType="none"/>
    </fill>
    <fill>
      <patternFill patternType="gray125"/>
    </fill>
    <fill>
      <patternFill patternType="solid">
        <fgColor theme="2" tint="-0.249977111117893"/>
        <bgColor indexed="64"/>
      </patternFill>
    </fill>
    <fill>
      <patternFill patternType="solid">
        <fgColor rgb="FF00206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applyAlignment="1">
      <alignment horizontal="left" vertical="top"/>
    </xf>
    <xf numFmtId="0" fontId="2" fillId="2" borderId="1" xfId="0" applyFont="1" applyFill="1" applyBorder="1" applyAlignment="1">
      <alignment horizontal="center" vertical="top" wrapText="1"/>
    </xf>
    <xf numFmtId="1" fontId="3"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shrinkToFi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wrapText="1" shrinkToFi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1" fontId="4" fillId="0" borderId="1" xfId="0" applyNumberFormat="1" applyFont="1" applyBorder="1" applyAlignment="1">
      <alignment horizontal="center" vertical="top" wrapText="1" shrinkToFit="1"/>
    </xf>
    <xf numFmtId="0" fontId="4" fillId="0" borderId="1" xfId="0" applyFont="1" applyBorder="1" applyAlignment="1">
      <alignment horizontal="center" vertical="top" wrapText="1"/>
    </xf>
    <xf numFmtId="0" fontId="2" fillId="0" borderId="1" xfId="0" applyFont="1" applyBorder="1" applyAlignment="1">
      <alignment horizontal="left" vertical="top" wrapText="1"/>
    </xf>
    <xf numFmtId="1" fontId="2" fillId="4" borderId="1" xfId="0" applyNumberFormat="1" applyFont="1" applyFill="1" applyBorder="1" applyAlignment="1">
      <alignment horizontal="center" vertical="top" wrapText="1"/>
    </xf>
    <xf numFmtId="0" fontId="2"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8" fillId="5" borderId="1" xfId="0" applyFont="1" applyFill="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9" fillId="0" borderId="1" xfId="0" applyFont="1" applyBorder="1" applyAlignment="1">
      <alignment horizontal="justify" vertical="top"/>
    </xf>
    <xf numFmtId="0" fontId="9" fillId="0" borderId="1" xfId="0" applyFont="1" applyBorder="1" applyAlignment="1">
      <alignment vertical="top" wrapText="1"/>
    </xf>
    <xf numFmtId="0" fontId="0" fillId="0" borderId="0" xfId="0" applyAlignment="1">
      <alignment horizontal="left" vertical="top" wrapText="1"/>
    </xf>
    <xf numFmtId="0" fontId="11" fillId="0" borderId="1" xfId="0" applyFont="1" applyBorder="1" applyAlignment="1">
      <alignment horizontal="left" vertical="top"/>
    </xf>
    <xf numFmtId="0" fontId="11" fillId="0" borderId="1" xfId="0" applyFont="1" applyBorder="1" applyAlignment="1">
      <alignment horizontal="center" vertical="top"/>
    </xf>
    <xf numFmtId="0" fontId="0" fillId="0" borderId="0" xfId="0" applyAlignment="1">
      <alignment horizontal="center" vertical="top"/>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DFE7C4-5D34-48FA-9F85-C331AB2FBB44}">
  <we:reference id="wa200001841" version="1.0.0.0" store="en-US" storeType="OMEX"/>
  <we:alternateReferences>
    <we:reference id="WA200001841" version="1.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D0A9-BE48-482E-A130-8D2277E66635}">
  <dimension ref="A1:Q537"/>
  <sheetViews>
    <sheetView tabSelected="1" topLeftCell="A504" zoomScale="85" zoomScaleNormal="85" workbookViewId="0">
      <selection activeCell="Q509" sqref="Q509"/>
    </sheetView>
  </sheetViews>
  <sheetFormatPr defaultRowHeight="13" x14ac:dyDescent="0.3"/>
  <cols>
    <col min="1" max="1" width="6.59765625" bestFit="1" customWidth="1"/>
    <col min="2" max="2" width="36.5" customWidth="1"/>
    <col min="3" max="5" width="4.19921875" bestFit="1" customWidth="1"/>
    <col min="6" max="6" width="4.59765625" bestFit="1" customWidth="1"/>
    <col min="7" max="9" width="3.5" bestFit="1" customWidth="1"/>
    <col min="10" max="10" width="4.296875" bestFit="1" customWidth="1"/>
    <col min="11" max="12" width="3.69921875" bestFit="1" customWidth="1"/>
    <col min="13" max="13" width="4.3984375" bestFit="1" customWidth="1"/>
    <col min="14" max="14" width="12.19921875" customWidth="1"/>
    <col min="15" max="15" width="11.19921875" customWidth="1"/>
    <col min="16" max="16" width="12.69921875" customWidth="1"/>
    <col min="17" max="17" width="37.09765625" customWidth="1"/>
  </cols>
  <sheetData>
    <row r="1" spans="1:17" ht="28" x14ac:dyDescent="0.3">
      <c r="A1" s="1" t="s">
        <v>480</v>
      </c>
      <c r="B1" s="1" t="s">
        <v>1105</v>
      </c>
      <c r="C1" s="1" t="s">
        <v>0</v>
      </c>
      <c r="D1" s="1" t="s">
        <v>1</v>
      </c>
      <c r="E1" s="1" t="s">
        <v>2</v>
      </c>
      <c r="F1" s="1" t="s">
        <v>481</v>
      </c>
      <c r="G1" s="1" t="s">
        <v>3</v>
      </c>
      <c r="H1" s="1" t="s">
        <v>4</v>
      </c>
      <c r="I1" s="1" t="s">
        <v>5</v>
      </c>
      <c r="J1" s="1" t="s">
        <v>483</v>
      </c>
      <c r="K1" s="1" t="s">
        <v>6</v>
      </c>
      <c r="L1" s="1" t="s">
        <v>7</v>
      </c>
      <c r="M1" s="1" t="s">
        <v>482</v>
      </c>
      <c r="N1" s="1" t="s">
        <v>8</v>
      </c>
      <c r="O1" s="1" t="s">
        <v>416</v>
      </c>
      <c r="P1" s="1" t="s">
        <v>1103</v>
      </c>
      <c r="Q1" s="1" t="s">
        <v>415</v>
      </c>
    </row>
    <row r="2" spans="1:17" ht="168" x14ac:dyDescent="0.3">
      <c r="A2" s="3">
        <v>1</v>
      </c>
      <c r="B2" s="4" t="s">
        <v>418</v>
      </c>
      <c r="C2" s="7">
        <v>20</v>
      </c>
      <c r="D2" s="5">
        <v>30</v>
      </c>
      <c r="E2" s="5">
        <v>25</v>
      </c>
      <c r="F2" s="13">
        <f>C2+D2+E2</f>
        <v>75</v>
      </c>
      <c r="G2" s="7">
        <v>0</v>
      </c>
      <c r="H2" s="5">
        <v>25</v>
      </c>
      <c r="I2" s="5">
        <v>0</v>
      </c>
      <c r="J2" s="13">
        <f>G2+H2+I2</f>
        <v>25</v>
      </c>
      <c r="K2" s="7">
        <v>25</v>
      </c>
      <c r="L2" s="7">
        <v>20</v>
      </c>
      <c r="M2" s="13">
        <f>K2+L2</f>
        <v>45</v>
      </c>
      <c r="N2" s="6">
        <f>(MAX(F2,J2,M2))+((100-MAX(F2,J2,M2))*((MEDIAN(F2,J2,M2)+MIN(F2,J2,M2))/200))</f>
        <v>83.75</v>
      </c>
      <c r="O2" s="5" t="str">
        <f>IF(N2&gt;=80,"Red",IF(AND(N2&gt;=55,N2&lt;80),"Orange",IF(AND(N2&gt;=25,N2&lt;55),"Green",IF(N2&lt;25,"White"))))</f>
        <v>Red</v>
      </c>
      <c r="P2" s="7" t="s">
        <v>610</v>
      </c>
      <c r="Q2" s="8" t="s">
        <v>507</v>
      </c>
    </row>
    <row r="3" spans="1:17" ht="28" x14ac:dyDescent="0.3">
      <c r="A3" s="3">
        <v>2</v>
      </c>
      <c r="B3" s="4" t="s">
        <v>36</v>
      </c>
      <c r="C3" s="5">
        <v>10</v>
      </c>
      <c r="D3" s="5">
        <v>30</v>
      </c>
      <c r="E3" s="5">
        <v>25</v>
      </c>
      <c r="F3" s="14">
        <f>C3+D3+E3</f>
        <v>65</v>
      </c>
      <c r="G3" s="2">
        <v>35</v>
      </c>
      <c r="H3" s="5">
        <v>30</v>
      </c>
      <c r="I3" s="5">
        <v>30</v>
      </c>
      <c r="J3" s="13">
        <f>G3+H3+I3</f>
        <v>95</v>
      </c>
      <c r="K3" s="7">
        <v>25</v>
      </c>
      <c r="L3" s="2">
        <v>30</v>
      </c>
      <c r="M3" s="13">
        <f>K3+L3</f>
        <v>55</v>
      </c>
      <c r="N3" s="6">
        <f>(MAX(F3,J3,M3))+((100-MAX(F3,J3,M3))*((MEDIAN(F3,J3,M3)+MIN(F3,J3,M3))/200))</f>
        <v>98</v>
      </c>
      <c r="O3" s="5" t="str">
        <f>IF(N3&gt;=80,"Red",IF(AND(N3&gt;=55,N3&lt;80),"Orange",IF(AND(N3&gt;=25,N3&lt;55),"Green",IF(N3&lt;25,"White"))))</f>
        <v>Red</v>
      </c>
      <c r="P3" s="7" t="s">
        <v>610</v>
      </c>
      <c r="Q3" s="8" t="s">
        <v>508</v>
      </c>
    </row>
    <row r="4" spans="1:17" ht="28" x14ac:dyDescent="0.3">
      <c r="A4" s="3">
        <v>3</v>
      </c>
      <c r="B4" s="4" t="s">
        <v>129</v>
      </c>
      <c r="C4" s="5">
        <v>0</v>
      </c>
      <c r="D4" s="5">
        <v>0</v>
      </c>
      <c r="E4" s="5">
        <v>0</v>
      </c>
      <c r="F4" s="14">
        <f>C4+D4+E4</f>
        <v>0</v>
      </c>
      <c r="G4" s="7">
        <v>0</v>
      </c>
      <c r="H4" s="5">
        <v>30</v>
      </c>
      <c r="I4" s="5">
        <v>0</v>
      </c>
      <c r="J4" s="13">
        <f>G4+H4+I4</f>
        <v>30</v>
      </c>
      <c r="K4" s="7">
        <v>0</v>
      </c>
      <c r="L4" s="7">
        <v>0</v>
      </c>
      <c r="M4" s="13">
        <f>K4+L4</f>
        <v>0</v>
      </c>
      <c r="N4" s="6">
        <f>(MAX(F4,J4,M4))+((100-MAX(F4,J4,M4))*((MEDIAN(F4,J4,M4)+MIN(F4,J4,M4))/200))</f>
        <v>30</v>
      </c>
      <c r="O4" s="5" t="str">
        <f>IF(N4&gt;=80,"Red",IF(AND(N4&gt;=55,N4&lt;80),"Orange",IF(AND(N4&gt;=25,N4&lt;55),"Green",IF(N4&lt;25,"White"))))</f>
        <v>Green</v>
      </c>
      <c r="P4" s="7" t="s">
        <v>610</v>
      </c>
      <c r="Q4" s="8"/>
    </row>
    <row r="5" spans="1:17" ht="28" x14ac:dyDescent="0.3">
      <c r="A5" s="3">
        <v>4</v>
      </c>
      <c r="B5" s="4" t="s">
        <v>113</v>
      </c>
      <c r="C5" s="7"/>
      <c r="D5" s="5"/>
      <c r="E5" s="5"/>
      <c r="F5" s="14"/>
      <c r="G5" s="7"/>
      <c r="H5" s="5"/>
      <c r="I5" s="5"/>
      <c r="J5" s="14"/>
      <c r="K5" s="7"/>
      <c r="L5" s="7"/>
      <c r="M5" s="14"/>
      <c r="N5" s="6"/>
      <c r="O5" s="5"/>
      <c r="P5" s="7" t="s">
        <v>610</v>
      </c>
      <c r="Q5" s="8"/>
    </row>
    <row r="6" spans="1:17" ht="28" x14ac:dyDescent="0.3">
      <c r="A6" s="3">
        <v>4.0999999999999996</v>
      </c>
      <c r="B6" s="4" t="s">
        <v>114</v>
      </c>
      <c r="C6" s="7">
        <v>25</v>
      </c>
      <c r="D6" s="5">
        <v>0</v>
      </c>
      <c r="E6" s="5">
        <v>20</v>
      </c>
      <c r="F6" s="13">
        <f>C6+D6+E6</f>
        <v>45</v>
      </c>
      <c r="G6" s="7">
        <v>25</v>
      </c>
      <c r="H6" s="5">
        <v>0</v>
      </c>
      <c r="I6" s="5">
        <v>25</v>
      </c>
      <c r="J6" s="13">
        <f>G6+H6+I6</f>
        <v>50</v>
      </c>
      <c r="K6" s="7">
        <v>0</v>
      </c>
      <c r="L6" s="7">
        <v>0</v>
      </c>
      <c r="M6" s="13">
        <f>K6+L6</f>
        <v>0</v>
      </c>
      <c r="N6" s="6">
        <f>(MAX(F6,J6,M6))+((100-MAX(F6,J6,M6))*((MEDIAN(F6,J6,M6)+MIN(F6,J6,M6))/200))</f>
        <v>61.25</v>
      </c>
      <c r="O6" s="5" t="str">
        <f>IF(N6&gt;=80,"Red",IF(AND(N6&gt;=55,N6&lt;80),"Orange",IF(AND(N6&gt;=25,N6&lt;55),"Green",IF(N6&lt;25,"White"))))</f>
        <v>Orange</v>
      </c>
      <c r="P6" s="7" t="s">
        <v>610</v>
      </c>
      <c r="Q6" s="8" t="s">
        <v>514</v>
      </c>
    </row>
    <row r="7" spans="1:17" ht="42" x14ac:dyDescent="0.3">
      <c r="A7" s="3">
        <v>4.2</v>
      </c>
      <c r="B7" s="4" t="s">
        <v>115</v>
      </c>
      <c r="C7" s="7">
        <v>25</v>
      </c>
      <c r="D7" s="5">
        <v>0</v>
      </c>
      <c r="E7" s="5">
        <v>20</v>
      </c>
      <c r="F7" s="13">
        <f>C7+D7+E7</f>
        <v>45</v>
      </c>
      <c r="G7" s="7">
        <v>25</v>
      </c>
      <c r="H7" s="5">
        <v>0</v>
      </c>
      <c r="I7" s="5">
        <v>10</v>
      </c>
      <c r="J7" s="13">
        <f>G7+H7+I7</f>
        <v>35</v>
      </c>
      <c r="K7" s="7">
        <v>0</v>
      </c>
      <c r="L7" s="7">
        <v>0</v>
      </c>
      <c r="M7" s="13">
        <f>K7+L7</f>
        <v>0</v>
      </c>
      <c r="N7" s="6">
        <f>(MAX(F7,J7,M7))+((100-MAX(F7,J7,M7))*((MEDIAN(F7,J7,M7)+MIN(F7,J7,M7))/200))</f>
        <v>54.625</v>
      </c>
      <c r="O7" s="5" t="str">
        <f>IF(N7&gt;=80,"Red",IF(AND(N7&gt;=55,N7&lt;80),"Orange",IF(AND(N7&gt;=25,N7&lt;55),"Green",IF(N7&lt;25,"White"))))</f>
        <v>Green</v>
      </c>
      <c r="P7" s="7" t="s">
        <v>610</v>
      </c>
      <c r="Q7" s="8"/>
    </row>
    <row r="8" spans="1:17" ht="28" x14ac:dyDescent="0.3">
      <c r="A8" s="3">
        <v>5</v>
      </c>
      <c r="B8" s="4" t="s">
        <v>131</v>
      </c>
      <c r="C8" s="5"/>
      <c r="D8" s="5"/>
      <c r="E8" s="5"/>
      <c r="F8" s="14"/>
      <c r="G8" s="7"/>
      <c r="H8" s="5"/>
      <c r="I8" s="5"/>
      <c r="J8" s="13"/>
      <c r="K8" s="7"/>
      <c r="L8" s="7"/>
      <c r="M8" s="13"/>
      <c r="N8" s="6"/>
      <c r="O8" s="5"/>
      <c r="P8" s="7" t="s">
        <v>610</v>
      </c>
      <c r="Q8" s="8"/>
    </row>
    <row r="9" spans="1:17" ht="42" x14ac:dyDescent="0.3">
      <c r="A9" s="3">
        <v>5.0999999999999996</v>
      </c>
      <c r="B9" s="4" t="s">
        <v>132</v>
      </c>
      <c r="C9" s="5">
        <v>0</v>
      </c>
      <c r="D9" s="5">
        <v>0</v>
      </c>
      <c r="E9" s="5">
        <v>0</v>
      </c>
      <c r="F9" s="14">
        <f>C9+D9+E9</f>
        <v>0</v>
      </c>
      <c r="G9" s="7">
        <v>25</v>
      </c>
      <c r="H9" s="5">
        <v>25</v>
      </c>
      <c r="I9" s="5">
        <v>25</v>
      </c>
      <c r="J9" s="13">
        <f>G9+H9+I9</f>
        <v>75</v>
      </c>
      <c r="K9" s="7">
        <v>0</v>
      </c>
      <c r="L9" s="7">
        <v>0</v>
      </c>
      <c r="M9" s="13">
        <f>K9+L9</f>
        <v>0</v>
      </c>
      <c r="N9" s="6">
        <f>(MAX(F9,J9,M9))+((100-MAX(F9,J9,M9))*((MEDIAN(F9,J9,M9)+MIN(F9,J9,M9))/200))</f>
        <v>75</v>
      </c>
      <c r="O9" s="5" t="str">
        <f>IF(N9&gt;=80,"Red",IF(AND(N9&gt;=55,N9&lt;80),"Orange",IF(AND(N9&gt;=25,N9&lt;55),"Green",IF(N9&lt;25,"White"))))</f>
        <v>Orange</v>
      </c>
      <c r="P9" s="7" t="s">
        <v>610</v>
      </c>
      <c r="Q9" s="8" t="s">
        <v>517</v>
      </c>
    </row>
    <row r="10" spans="1:17" ht="28" x14ac:dyDescent="0.3">
      <c r="A10" s="3">
        <v>5.2</v>
      </c>
      <c r="B10" s="4" t="s">
        <v>133</v>
      </c>
      <c r="C10" s="5">
        <v>0</v>
      </c>
      <c r="D10" s="5">
        <v>0</v>
      </c>
      <c r="E10" s="5">
        <v>0</v>
      </c>
      <c r="F10" s="14">
        <f>C10+D10+E10</f>
        <v>0</v>
      </c>
      <c r="G10" s="7">
        <v>25</v>
      </c>
      <c r="H10" s="5">
        <v>25</v>
      </c>
      <c r="I10" s="5">
        <v>15</v>
      </c>
      <c r="J10" s="13">
        <f>G10+H10+I10</f>
        <v>65</v>
      </c>
      <c r="K10" s="7">
        <v>0</v>
      </c>
      <c r="L10" s="7">
        <v>0</v>
      </c>
      <c r="M10" s="13">
        <f>K10+L10</f>
        <v>0</v>
      </c>
      <c r="N10" s="6">
        <f>(MAX(F10,J10,M10))+((100-MAX(F10,J10,M10))*((MEDIAN(F10,J10,M10)+MIN(F10,J10,M10))/200))</f>
        <v>65</v>
      </c>
      <c r="O10" s="5" t="str">
        <f>IF(N10&gt;=80,"Red",IF(AND(N10&gt;=55,N10&lt;80),"Orange",IF(AND(N10&gt;=25,N10&lt;55),"Green",IF(N10&lt;25,"White"))))</f>
        <v>Orange</v>
      </c>
      <c r="P10" s="7" t="s">
        <v>610</v>
      </c>
      <c r="Q10" s="8"/>
    </row>
    <row r="11" spans="1:17" ht="28" x14ac:dyDescent="0.3">
      <c r="A11" s="3">
        <v>5.3</v>
      </c>
      <c r="B11" s="4" t="s">
        <v>134</v>
      </c>
      <c r="C11" s="5">
        <v>0</v>
      </c>
      <c r="D11" s="5">
        <v>0</v>
      </c>
      <c r="E11" s="5">
        <v>0</v>
      </c>
      <c r="F11" s="14">
        <f>C11+D11+E11</f>
        <v>0</v>
      </c>
      <c r="G11" s="7">
        <v>25</v>
      </c>
      <c r="H11" s="5">
        <v>25</v>
      </c>
      <c r="I11" s="5">
        <v>10</v>
      </c>
      <c r="J11" s="13">
        <f>G11+H11+I11</f>
        <v>60</v>
      </c>
      <c r="K11" s="7">
        <v>0</v>
      </c>
      <c r="L11" s="7">
        <v>0</v>
      </c>
      <c r="M11" s="13">
        <f>K11+L11</f>
        <v>0</v>
      </c>
      <c r="N11" s="6">
        <f>(MAX(F11,J11,M11))+((100-MAX(F11,J11,M11))*((MEDIAN(F11,J11,M11)+MIN(F11,J11,M11))/200))</f>
        <v>60</v>
      </c>
      <c r="O11" s="5" t="str">
        <f>IF(N11&gt;=80,"Red",IF(AND(N11&gt;=55,N11&lt;80),"Orange",IF(AND(N11&gt;=25,N11&lt;55),"Green",IF(N11&lt;25,"White"))))</f>
        <v>Orange</v>
      </c>
      <c r="P11" s="7" t="s">
        <v>610</v>
      </c>
      <c r="Q11" s="8"/>
    </row>
    <row r="12" spans="1:17" ht="28" x14ac:dyDescent="0.3">
      <c r="A12" s="3">
        <v>6</v>
      </c>
      <c r="B12" s="4" t="s">
        <v>378</v>
      </c>
      <c r="C12" s="5"/>
      <c r="D12" s="5"/>
      <c r="E12" s="5"/>
      <c r="F12" s="14"/>
      <c r="G12" s="5"/>
      <c r="H12" s="5"/>
      <c r="I12" s="5"/>
      <c r="J12" s="14"/>
      <c r="K12" s="5"/>
      <c r="L12" s="5"/>
      <c r="M12" s="14"/>
      <c r="N12" s="5"/>
      <c r="O12" s="5"/>
      <c r="P12" s="7" t="s">
        <v>610</v>
      </c>
      <c r="Q12" s="8"/>
    </row>
    <row r="13" spans="1:17" ht="28" x14ac:dyDescent="0.3">
      <c r="A13" s="5">
        <v>6.1</v>
      </c>
      <c r="B13" s="4" t="s">
        <v>283</v>
      </c>
      <c r="C13" s="5">
        <v>0</v>
      </c>
      <c r="D13" s="5">
        <v>0</v>
      </c>
      <c r="E13" s="5">
        <v>0</v>
      </c>
      <c r="F13" s="14">
        <f>C13+D13+E13</f>
        <v>0</v>
      </c>
      <c r="G13" s="5">
        <v>25</v>
      </c>
      <c r="H13" s="5">
        <v>25</v>
      </c>
      <c r="I13" s="5">
        <v>30</v>
      </c>
      <c r="J13" s="14">
        <f>G13+H13+I13</f>
        <v>80</v>
      </c>
      <c r="K13" s="5">
        <v>0</v>
      </c>
      <c r="L13" s="5">
        <v>0</v>
      </c>
      <c r="M13" s="14">
        <f>K13+L13</f>
        <v>0</v>
      </c>
      <c r="N13" s="6">
        <f>(MAX(F13,J13,M13))+((100-MAX(F13,J13,M13))*((MEDIAN(F13,J13,M13)+MIN(F13,J13,M13))/200))</f>
        <v>80</v>
      </c>
      <c r="O13" s="5" t="str">
        <f>IF(N13&gt;=80,"Red",IF(AND(N13&gt;=55,N13&lt;80),"Orange",IF(AND(N13&gt;=25,N13&lt;55),"Green",IF(N13&lt;25,"White"))))</f>
        <v>Red</v>
      </c>
      <c r="P13" s="7" t="s">
        <v>610</v>
      </c>
      <c r="Q13" s="8"/>
    </row>
    <row r="14" spans="1:17" ht="28" x14ac:dyDescent="0.3">
      <c r="A14" s="5">
        <v>6.2</v>
      </c>
      <c r="B14" s="4" t="s">
        <v>284</v>
      </c>
      <c r="C14" s="5">
        <v>0</v>
      </c>
      <c r="D14" s="5">
        <v>0</v>
      </c>
      <c r="E14" s="5">
        <v>0</v>
      </c>
      <c r="F14" s="14">
        <f>C14+D14+E14</f>
        <v>0</v>
      </c>
      <c r="G14" s="5">
        <v>25</v>
      </c>
      <c r="H14" s="5">
        <v>25</v>
      </c>
      <c r="I14" s="5">
        <v>25</v>
      </c>
      <c r="J14" s="14">
        <f>G14+H14+I14</f>
        <v>75</v>
      </c>
      <c r="K14" s="5">
        <v>0</v>
      </c>
      <c r="L14" s="5">
        <v>0</v>
      </c>
      <c r="M14" s="14">
        <f>K14+L14</f>
        <v>0</v>
      </c>
      <c r="N14" s="6">
        <f>(MAX(F14,J14,M14))+((100-MAX(F14,J14,M14))*((MEDIAN(F14,J14,M14)+MIN(F14,J14,M14))/200))</f>
        <v>75</v>
      </c>
      <c r="O14" s="5" t="str">
        <f>IF(N14&gt;=80,"Red",IF(AND(N14&gt;=55,N14&lt;80),"Orange",IF(AND(N14&gt;=25,N14&lt;55),"Green",IF(N14&lt;25,"White"))))</f>
        <v>Orange</v>
      </c>
      <c r="P14" s="7" t="s">
        <v>610</v>
      </c>
      <c r="Q14" s="8"/>
    </row>
    <row r="15" spans="1:17" ht="28" x14ac:dyDescent="0.3">
      <c r="A15" s="5">
        <v>6.3</v>
      </c>
      <c r="B15" s="4" t="s">
        <v>281</v>
      </c>
      <c r="C15" s="5">
        <v>0</v>
      </c>
      <c r="D15" s="5">
        <v>0</v>
      </c>
      <c r="E15" s="5">
        <v>0</v>
      </c>
      <c r="F15" s="14">
        <f>C15+D15+E15</f>
        <v>0</v>
      </c>
      <c r="G15" s="5">
        <v>25</v>
      </c>
      <c r="H15" s="5">
        <v>25</v>
      </c>
      <c r="I15" s="5">
        <v>20</v>
      </c>
      <c r="J15" s="14">
        <f>G15+H15+I15</f>
        <v>70</v>
      </c>
      <c r="K15" s="5">
        <v>0</v>
      </c>
      <c r="L15" s="5">
        <v>0</v>
      </c>
      <c r="M15" s="14">
        <f>K15+L15</f>
        <v>0</v>
      </c>
      <c r="N15" s="6">
        <f>(MAX(F15,J15,M15))+((100-MAX(F15,J15,M15))*((MEDIAN(F15,J15,M15)+MIN(F15,J15,M15))/200))</f>
        <v>70</v>
      </c>
      <c r="O15" s="5" t="str">
        <f>IF(N15&gt;=80,"Red",IF(AND(N15&gt;=55,N15&lt;80),"Orange",IF(AND(N15&gt;=25,N15&lt;55),"Green",IF(N15&lt;25,"White"))))</f>
        <v>Orange</v>
      </c>
      <c r="P15" s="7" t="s">
        <v>610</v>
      </c>
      <c r="Q15" s="8"/>
    </row>
    <row r="16" spans="1:17" ht="56" x14ac:dyDescent="0.3">
      <c r="A16" s="5">
        <v>6.4</v>
      </c>
      <c r="B16" s="4" t="s">
        <v>282</v>
      </c>
      <c r="C16" s="5">
        <v>0</v>
      </c>
      <c r="D16" s="5">
        <v>0</v>
      </c>
      <c r="E16" s="5">
        <v>0</v>
      </c>
      <c r="F16" s="14">
        <f>C16+D16+E16</f>
        <v>0</v>
      </c>
      <c r="G16" s="5">
        <v>25</v>
      </c>
      <c r="H16" s="5">
        <v>25</v>
      </c>
      <c r="I16" s="5">
        <v>15</v>
      </c>
      <c r="J16" s="14">
        <f>G16+H16+I16</f>
        <v>65</v>
      </c>
      <c r="K16" s="5">
        <v>0</v>
      </c>
      <c r="L16" s="5">
        <v>0</v>
      </c>
      <c r="M16" s="14">
        <f>K16+L16</f>
        <v>0</v>
      </c>
      <c r="N16" s="6">
        <f>(MAX(F16,J16,M16))+((100-MAX(F16,J16,M16))*((MEDIAN(F16,J16,M16)+MIN(F16,J16,M16))/200))</f>
        <v>65</v>
      </c>
      <c r="O16" s="5" t="str">
        <f>IF(N16&gt;=80,"Red",IF(AND(N16&gt;=55,N16&lt;80),"Orange",IF(AND(N16&gt;=25,N16&lt;55),"Green",IF(N16&lt;25,"White"))))</f>
        <v>Orange</v>
      </c>
      <c r="P16" s="7" t="s">
        <v>610</v>
      </c>
      <c r="Q16" s="8" t="s">
        <v>518</v>
      </c>
    </row>
    <row r="17" spans="1:17" ht="28" x14ac:dyDescent="0.3">
      <c r="A17" s="3">
        <v>7</v>
      </c>
      <c r="B17" s="4" t="s">
        <v>257</v>
      </c>
      <c r="C17" s="5"/>
      <c r="D17" s="5"/>
      <c r="E17" s="5"/>
      <c r="F17" s="14"/>
      <c r="G17" s="5"/>
      <c r="H17" s="5"/>
      <c r="I17" s="5"/>
      <c r="J17" s="14"/>
      <c r="K17" s="5"/>
      <c r="L17" s="5"/>
      <c r="M17" s="14"/>
      <c r="N17" s="6"/>
      <c r="O17" s="5"/>
      <c r="P17" s="7" t="s">
        <v>610</v>
      </c>
      <c r="Q17" s="8"/>
    </row>
    <row r="18" spans="1:17" ht="70" x14ac:dyDescent="0.3">
      <c r="A18" s="3">
        <v>7.1</v>
      </c>
      <c r="B18" s="4" t="s">
        <v>258</v>
      </c>
      <c r="C18" s="5">
        <v>0</v>
      </c>
      <c r="D18" s="5">
        <v>0</v>
      </c>
      <c r="E18" s="5">
        <v>0</v>
      </c>
      <c r="F18" s="14">
        <f>C18+D18+E18</f>
        <v>0</v>
      </c>
      <c r="G18" s="5">
        <v>25</v>
      </c>
      <c r="H18" s="5">
        <v>25</v>
      </c>
      <c r="I18" s="5">
        <v>25</v>
      </c>
      <c r="J18" s="14">
        <f>G18+H18+I18</f>
        <v>75</v>
      </c>
      <c r="K18" s="5">
        <v>0</v>
      </c>
      <c r="L18" s="5">
        <v>0</v>
      </c>
      <c r="M18" s="14">
        <f>K18+L18</f>
        <v>0</v>
      </c>
      <c r="N18" s="6">
        <f>(MAX(F18,J18,M18))+((100-MAX(F18,J18,M18))*((MEDIAN(F18,J18,M18)+MIN(F18,J18,M18))/200))</f>
        <v>75</v>
      </c>
      <c r="O18" s="5" t="str">
        <f>IF(N18&gt;=80,"Red",IF(AND(N18&gt;=55,N18&lt;80),"Orange",IF(AND(N18&gt;=25,N18&lt;55),"Green",IF(N18&lt;25,"White"))))</f>
        <v>Orange</v>
      </c>
      <c r="P18" s="7" t="s">
        <v>610</v>
      </c>
      <c r="Q18" s="8" t="s">
        <v>519</v>
      </c>
    </row>
    <row r="19" spans="1:17" ht="28" x14ac:dyDescent="0.3">
      <c r="A19" s="3">
        <v>7.2</v>
      </c>
      <c r="B19" s="4" t="s">
        <v>259</v>
      </c>
      <c r="C19" s="5">
        <v>0</v>
      </c>
      <c r="D19" s="5">
        <v>0</v>
      </c>
      <c r="E19" s="5">
        <v>0</v>
      </c>
      <c r="F19" s="14">
        <f>C19+D19+E19</f>
        <v>0</v>
      </c>
      <c r="G19" s="5">
        <v>0</v>
      </c>
      <c r="H19" s="5">
        <v>25</v>
      </c>
      <c r="I19" s="5">
        <v>0</v>
      </c>
      <c r="J19" s="14">
        <f>G19+H19+I19</f>
        <v>25</v>
      </c>
      <c r="K19" s="5">
        <v>0</v>
      </c>
      <c r="L19" s="5">
        <v>0</v>
      </c>
      <c r="M19" s="14">
        <f>K19+L19</f>
        <v>0</v>
      </c>
      <c r="N19" s="6">
        <f>(MAX(F19,J19,M19))+((100-MAX(F19,J19,M19))*((MEDIAN(F19,J19,M19)+MIN(F19,J19,M19))/200))</f>
        <v>25</v>
      </c>
      <c r="O19" s="5" t="str">
        <f>IF(N19&gt;=80,"Red",IF(AND(N19&gt;=55,N19&lt;80),"Orange",IF(AND(N19&gt;=25,N19&lt;55),"Green",IF(N19&lt;25,"White"))))</f>
        <v>Green</v>
      </c>
      <c r="P19" s="7" t="s">
        <v>610</v>
      </c>
      <c r="Q19" s="8"/>
    </row>
    <row r="20" spans="1:17" ht="28" x14ac:dyDescent="0.3">
      <c r="A20" s="3">
        <v>8</v>
      </c>
      <c r="B20" s="4" t="s">
        <v>372</v>
      </c>
      <c r="C20" s="10"/>
      <c r="D20" s="11"/>
      <c r="E20" s="11"/>
      <c r="F20" s="14"/>
      <c r="G20" s="10"/>
      <c r="H20" s="10"/>
      <c r="I20" s="10"/>
      <c r="J20" s="14"/>
      <c r="K20" s="10"/>
      <c r="L20" s="10"/>
      <c r="M20" s="14"/>
      <c r="N20" s="6"/>
      <c r="O20" s="11"/>
      <c r="P20" s="7" t="s">
        <v>610</v>
      </c>
      <c r="Q20" s="8"/>
    </row>
    <row r="21" spans="1:17" ht="42" x14ac:dyDescent="0.3">
      <c r="A21" s="3">
        <v>8.1</v>
      </c>
      <c r="B21" s="4" t="s">
        <v>1106</v>
      </c>
      <c r="C21" s="2">
        <v>25</v>
      </c>
      <c r="D21" s="5">
        <v>20</v>
      </c>
      <c r="E21" s="5">
        <v>30</v>
      </c>
      <c r="F21" s="13">
        <f>C21+D21+E21</f>
        <v>75</v>
      </c>
      <c r="G21" s="2">
        <v>25</v>
      </c>
      <c r="H21" s="2">
        <v>0</v>
      </c>
      <c r="I21" s="2">
        <v>25</v>
      </c>
      <c r="J21" s="13">
        <f>G21+H21+I21</f>
        <v>50</v>
      </c>
      <c r="K21" s="2">
        <v>0</v>
      </c>
      <c r="L21" s="2">
        <v>0</v>
      </c>
      <c r="M21" s="13">
        <f>K21+L21</f>
        <v>0</v>
      </c>
      <c r="N21" s="6">
        <f>(MAX(F21,J21,M21))+((100-MAX(F21,J21,M21))*((MEDIAN(F21,J21,M21)+MIN(F21,J21,M21))/200))</f>
        <v>81.25</v>
      </c>
      <c r="O21" s="5" t="str">
        <f>IF(N21&gt;=80,"Red",IF(AND(N21&gt;=55,N21&lt;80),"Orange",IF(AND(N21&gt;=25,N21&lt;55),"Green",IF(N21&lt;25,"White"))))</f>
        <v>Red</v>
      </c>
      <c r="P21" s="7" t="s">
        <v>610</v>
      </c>
      <c r="Q21" s="8"/>
    </row>
    <row r="22" spans="1:17" ht="42" x14ac:dyDescent="0.3">
      <c r="A22" s="3">
        <v>8.1999999999999993</v>
      </c>
      <c r="B22" s="4" t="s">
        <v>1107</v>
      </c>
      <c r="C22" s="2">
        <v>25</v>
      </c>
      <c r="D22" s="5">
        <v>20</v>
      </c>
      <c r="E22" s="5">
        <v>25</v>
      </c>
      <c r="F22" s="13">
        <f>C22+D22+E22</f>
        <v>70</v>
      </c>
      <c r="G22" s="2">
        <v>25</v>
      </c>
      <c r="H22" s="2">
        <v>0</v>
      </c>
      <c r="I22" s="2">
        <v>25</v>
      </c>
      <c r="J22" s="13">
        <f>G22+H22+I22</f>
        <v>50</v>
      </c>
      <c r="K22" s="2">
        <v>0</v>
      </c>
      <c r="L22" s="2">
        <v>0</v>
      </c>
      <c r="M22" s="13">
        <f>K22+L22</f>
        <v>0</v>
      </c>
      <c r="N22" s="6">
        <f>(MAX(F22,J22,M22))+((100-MAX(F22,J22,M22))*((MEDIAN(F22,J22,M22)+MIN(F22,J22,M22))/200))</f>
        <v>77.5</v>
      </c>
      <c r="O22" s="5" t="str">
        <f>IF(N22&gt;=80,"Red",IF(AND(N22&gt;=55,N22&lt;80),"Orange",IF(AND(N22&gt;=25,N22&lt;55),"Green",IF(N22&lt;25,"White"))))</f>
        <v>Orange</v>
      </c>
      <c r="P22" s="7" t="s">
        <v>610</v>
      </c>
      <c r="Q22" s="8"/>
    </row>
    <row r="23" spans="1:17" ht="28" x14ac:dyDescent="0.3">
      <c r="A23" s="3">
        <v>9</v>
      </c>
      <c r="B23" s="4" t="s">
        <v>185</v>
      </c>
      <c r="C23" s="7"/>
      <c r="D23" s="5"/>
      <c r="E23" s="5"/>
      <c r="F23" s="13"/>
      <c r="G23" s="7"/>
      <c r="H23" s="5"/>
      <c r="I23" s="5"/>
      <c r="J23" s="13"/>
      <c r="K23" s="7"/>
      <c r="L23" s="7"/>
      <c r="M23" s="13"/>
      <c r="N23" s="6"/>
      <c r="O23" s="5"/>
      <c r="P23" s="7" t="s">
        <v>610</v>
      </c>
      <c r="Q23" s="8"/>
    </row>
    <row r="24" spans="1:17" ht="42" x14ac:dyDescent="0.3">
      <c r="A24" s="3">
        <v>9.1</v>
      </c>
      <c r="B24" s="4" t="s">
        <v>439</v>
      </c>
      <c r="C24" s="7">
        <v>0</v>
      </c>
      <c r="D24" s="5">
        <v>30</v>
      </c>
      <c r="E24" s="5">
        <v>20</v>
      </c>
      <c r="F24" s="13">
        <f t="shared" ref="F24:F33" si="0">C24+D24+E24</f>
        <v>50</v>
      </c>
      <c r="G24" s="7">
        <v>35</v>
      </c>
      <c r="H24" s="5">
        <v>30</v>
      </c>
      <c r="I24" s="5">
        <v>25</v>
      </c>
      <c r="J24" s="13">
        <f t="shared" ref="J24:J33" si="1">G24+H24+I24</f>
        <v>90</v>
      </c>
      <c r="K24" s="7">
        <v>25</v>
      </c>
      <c r="L24" s="7">
        <v>10</v>
      </c>
      <c r="M24" s="13">
        <f t="shared" ref="M24:M33" si="2">K24+L24</f>
        <v>35</v>
      </c>
      <c r="N24" s="6">
        <f t="shared" ref="N24:N33" si="3">(MAX(F24,J24,M24))+((100-MAX(F24,J24,M24))*((MEDIAN(F24,J24,M24)+MIN(F24,J24,M24))/200))</f>
        <v>94.25</v>
      </c>
      <c r="O24" s="5" t="str">
        <f t="shared" ref="O24:O33" si="4">IF(N24&gt;=80,"Red",IF(AND(N24&gt;=55,N24&lt;80),"Orange",IF(AND(N24&gt;=25,N24&lt;55),"Green",IF(N24&lt;25,"White"))))</f>
        <v>Red</v>
      </c>
      <c r="P24" s="7" t="s">
        <v>610</v>
      </c>
      <c r="Q24" s="8"/>
    </row>
    <row r="25" spans="1:17" ht="70" x14ac:dyDescent="0.3">
      <c r="A25" s="3">
        <v>9.1999999999999993</v>
      </c>
      <c r="B25" s="4" t="s">
        <v>387</v>
      </c>
      <c r="C25" s="7">
        <v>0</v>
      </c>
      <c r="D25" s="5">
        <v>30</v>
      </c>
      <c r="E25" s="5">
        <v>15</v>
      </c>
      <c r="F25" s="13">
        <f t="shared" si="0"/>
        <v>45</v>
      </c>
      <c r="G25" s="7">
        <v>25</v>
      </c>
      <c r="H25" s="5">
        <v>25</v>
      </c>
      <c r="I25" s="5">
        <v>10</v>
      </c>
      <c r="J25" s="13">
        <f t="shared" si="1"/>
        <v>60</v>
      </c>
      <c r="K25" s="7">
        <v>25</v>
      </c>
      <c r="L25" s="7">
        <v>10</v>
      </c>
      <c r="M25" s="13">
        <f t="shared" si="2"/>
        <v>35</v>
      </c>
      <c r="N25" s="6">
        <f t="shared" si="3"/>
        <v>76</v>
      </c>
      <c r="O25" s="5" t="str">
        <f t="shared" si="4"/>
        <v>Orange</v>
      </c>
      <c r="P25" s="7" t="s">
        <v>610</v>
      </c>
      <c r="Q25" s="8"/>
    </row>
    <row r="26" spans="1:17" ht="28" x14ac:dyDescent="0.3">
      <c r="A26" s="3">
        <v>9.3000000000000007</v>
      </c>
      <c r="B26" s="4" t="s">
        <v>388</v>
      </c>
      <c r="C26" s="7">
        <v>0</v>
      </c>
      <c r="D26" s="5">
        <v>0</v>
      </c>
      <c r="E26" s="5">
        <v>0</v>
      </c>
      <c r="F26" s="13">
        <f t="shared" si="0"/>
        <v>0</v>
      </c>
      <c r="G26" s="7">
        <v>0</v>
      </c>
      <c r="H26" s="5">
        <v>25</v>
      </c>
      <c r="I26" s="5">
        <v>0</v>
      </c>
      <c r="J26" s="13">
        <f t="shared" si="1"/>
        <v>25</v>
      </c>
      <c r="K26" s="7">
        <v>25</v>
      </c>
      <c r="L26" s="7">
        <v>10</v>
      </c>
      <c r="M26" s="13">
        <f t="shared" si="2"/>
        <v>35</v>
      </c>
      <c r="N26" s="6">
        <f t="shared" si="3"/>
        <v>43.125</v>
      </c>
      <c r="O26" s="5" t="str">
        <f t="shared" si="4"/>
        <v>Green</v>
      </c>
      <c r="P26" s="7" t="s">
        <v>610</v>
      </c>
      <c r="Q26" s="8"/>
    </row>
    <row r="27" spans="1:17" ht="28" x14ac:dyDescent="0.3">
      <c r="A27" s="3">
        <v>10</v>
      </c>
      <c r="B27" s="4" t="s">
        <v>396</v>
      </c>
      <c r="C27" s="5">
        <v>0</v>
      </c>
      <c r="D27" s="5">
        <v>0</v>
      </c>
      <c r="E27" s="5">
        <v>0</v>
      </c>
      <c r="F27" s="14">
        <f t="shared" si="0"/>
        <v>0</v>
      </c>
      <c r="G27" s="7">
        <v>0</v>
      </c>
      <c r="H27" s="5">
        <v>30</v>
      </c>
      <c r="I27" s="5">
        <v>0</v>
      </c>
      <c r="J27" s="13">
        <f t="shared" si="1"/>
        <v>30</v>
      </c>
      <c r="K27" s="7">
        <v>0</v>
      </c>
      <c r="L27" s="7">
        <v>0</v>
      </c>
      <c r="M27" s="13">
        <f t="shared" si="2"/>
        <v>0</v>
      </c>
      <c r="N27" s="6">
        <f t="shared" si="3"/>
        <v>30</v>
      </c>
      <c r="O27" s="5" t="str">
        <f t="shared" si="4"/>
        <v>Green</v>
      </c>
      <c r="P27" s="7" t="s">
        <v>610</v>
      </c>
      <c r="Q27" s="8" t="s">
        <v>561</v>
      </c>
    </row>
    <row r="28" spans="1:17" ht="28" x14ac:dyDescent="0.3">
      <c r="A28" s="3">
        <v>11</v>
      </c>
      <c r="B28" s="4" t="s">
        <v>244</v>
      </c>
      <c r="C28" s="5">
        <v>0</v>
      </c>
      <c r="D28" s="5">
        <v>0</v>
      </c>
      <c r="E28" s="5">
        <v>0</v>
      </c>
      <c r="F28" s="14">
        <f t="shared" si="0"/>
        <v>0</v>
      </c>
      <c r="G28" s="5">
        <v>0</v>
      </c>
      <c r="H28" s="5">
        <v>0</v>
      </c>
      <c r="I28" s="5">
        <v>0</v>
      </c>
      <c r="J28" s="14">
        <f t="shared" si="1"/>
        <v>0</v>
      </c>
      <c r="K28" s="5">
        <v>0</v>
      </c>
      <c r="L28" s="5">
        <v>0</v>
      </c>
      <c r="M28" s="14">
        <f t="shared" si="2"/>
        <v>0</v>
      </c>
      <c r="N28" s="6">
        <f t="shared" si="3"/>
        <v>0</v>
      </c>
      <c r="O28" s="5" t="str">
        <f t="shared" si="4"/>
        <v>White</v>
      </c>
      <c r="P28" s="7" t="s">
        <v>610</v>
      </c>
      <c r="Q28" s="8"/>
    </row>
    <row r="29" spans="1:17" ht="28" x14ac:dyDescent="0.3">
      <c r="A29" s="3">
        <v>12</v>
      </c>
      <c r="B29" s="4" t="s">
        <v>245</v>
      </c>
      <c r="C29" s="5">
        <v>0</v>
      </c>
      <c r="D29" s="5">
        <v>0</v>
      </c>
      <c r="E29" s="5">
        <v>0</v>
      </c>
      <c r="F29" s="14">
        <f t="shared" si="0"/>
        <v>0</v>
      </c>
      <c r="G29" s="5">
        <v>0</v>
      </c>
      <c r="H29" s="5">
        <v>0</v>
      </c>
      <c r="I29" s="5">
        <v>0</v>
      </c>
      <c r="J29" s="14">
        <f t="shared" si="1"/>
        <v>0</v>
      </c>
      <c r="K29" s="5">
        <v>0</v>
      </c>
      <c r="L29" s="5">
        <v>0</v>
      </c>
      <c r="M29" s="14">
        <f t="shared" si="2"/>
        <v>0</v>
      </c>
      <c r="N29" s="6">
        <f t="shared" si="3"/>
        <v>0</v>
      </c>
      <c r="O29" s="5" t="str">
        <f t="shared" si="4"/>
        <v>White</v>
      </c>
      <c r="P29" s="7" t="s">
        <v>610</v>
      </c>
      <c r="Q29" s="8"/>
    </row>
    <row r="30" spans="1:17" ht="28" x14ac:dyDescent="0.3">
      <c r="A30" s="3">
        <v>13</v>
      </c>
      <c r="B30" s="4" t="s">
        <v>246</v>
      </c>
      <c r="C30" s="5">
        <v>0</v>
      </c>
      <c r="D30" s="5">
        <v>0</v>
      </c>
      <c r="E30" s="5">
        <v>0</v>
      </c>
      <c r="F30" s="14">
        <f t="shared" si="0"/>
        <v>0</v>
      </c>
      <c r="G30" s="5">
        <v>0</v>
      </c>
      <c r="H30" s="5">
        <v>20</v>
      </c>
      <c r="I30" s="5">
        <v>0</v>
      </c>
      <c r="J30" s="14">
        <f t="shared" si="1"/>
        <v>20</v>
      </c>
      <c r="K30" s="5">
        <v>0</v>
      </c>
      <c r="L30" s="5">
        <v>0</v>
      </c>
      <c r="M30" s="14">
        <f t="shared" si="2"/>
        <v>0</v>
      </c>
      <c r="N30" s="6">
        <f t="shared" si="3"/>
        <v>20</v>
      </c>
      <c r="O30" s="5" t="str">
        <f t="shared" si="4"/>
        <v>White</v>
      </c>
      <c r="P30" s="7" t="s">
        <v>610</v>
      </c>
      <c r="Q30" s="8"/>
    </row>
    <row r="31" spans="1:17" ht="42" x14ac:dyDescent="0.3">
      <c r="A31" s="3">
        <v>14</v>
      </c>
      <c r="B31" s="4" t="s">
        <v>248</v>
      </c>
      <c r="C31" s="5">
        <v>0</v>
      </c>
      <c r="D31" s="5">
        <v>0</v>
      </c>
      <c r="E31" s="5">
        <v>0</v>
      </c>
      <c r="F31" s="14">
        <f t="shared" si="0"/>
        <v>0</v>
      </c>
      <c r="G31" s="5">
        <v>0</v>
      </c>
      <c r="H31" s="5">
        <v>0</v>
      </c>
      <c r="I31" s="5">
        <v>0</v>
      </c>
      <c r="J31" s="14">
        <f t="shared" si="1"/>
        <v>0</v>
      </c>
      <c r="K31" s="5">
        <v>0</v>
      </c>
      <c r="L31" s="5">
        <v>0</v>
      </c>
      <c r="M31" s="14">
        <f t="shared" si="2"/>
        <v>0</v>
      </c>
      <c r="N31" s="6">
        <f t="shared" si="3"/>
        <v>0</v>
      </c>
      <c r="O31" s="5" t="str">
        <f t="shared" si="4"/>
        <v>White</v>
      </c>
      <c r="P31" s="7" t="s">
        <v>610</v>
      </c>
      <c r="Q31" s="8"/>
    </row>
    <row r="32" spans="1:17" ht="42" x14ac:dyDescent="0.3">
      <c r="A32" s="3">
        <v>15</v>
      </c>
      <c r="B32" s="4" t="s">
        <v>256</v>
      </c>
      <c r="C32" s="5">
        <v>0</v>
      </c>
      <c r="D32" s="5">
        <v>0</v>
      </c>
      <c r="E32" s="5">
        <v>0</v>
      </c>
      <c r="F32" s="14">
        <f t="shared" si="0"/>
        <v>0</v>
      </c>
      <c r="G32" s="5">
        <v>0</v>
      </c>
      <c r="H32" s="5">
        <v>0</v>
      </c>
      <c r="I32" s="5">
        <v>0</v>
      </c>
      <c r="J32" s="14">
        <f t="shared" si="1"/>
        <v>0</v>
      </c>
      <c r="K32" s="5">
        <v>0</v>
      </c>
      <c r="L32" s="5">
        <v>0</v>
      </c>
      <c r="M32" s="14">
        <f t="shared" si="2"/>
        <v>0</v>
      </c>
      <c r="N32" s="6">
        <f t="shared" si="3"/>
        <v>0</v>
      </c>
      <c r="O32" s="5" t="str">
        <f t="shared" si="4"/>
        <v>White</v>
      </c>
      <c r="P32" s="7" t="s">
        <v>610</v>
      </c>
      <c r="Q32" s="8"/>
    </row>
    <row r="33" spans="1:17" ht="28" x14ac:dyDescent="0.3">
      <c r="A33" s="3">
        <v>16</v>
      </c>
      <c r="B33" s="4" t="s">
        <v>267</v>
      </c>
      <c r="C33" s="5">
        <v>0</v>
      </c>
      <c r="D33" s="5">
        <v>0</v>
      </c>
      <c r="E33" s="5">
        <v>0</v>
      </c>
      <c r="F33" s="14">
        <f t="shared" si="0"/>
        <v>0</v>
      </c>
      <c r="G33" s="5">
        <v>0</v>
      </c>
      <c r="H33" s="5">
        <v>20</v>
      </c>
      <c r="I33" s="5">
        <v>0</v>
      </c>
      <c r="J33" s="14">
        <f t="shared" si="1"/>
        <v>20</v>
      </c>
      <c r="K33" s="5">
        <v>0</v>
      </c>
      <c r="L33" s="5">
        <v>0</v>
      </c>
      <c r="M33" s="14">
        <f t="shared" si="2"/>
        <v>0</v>
      </c>
      <c r="N33" s="6">
        <f t="shared" si="3"/>
        <v>20</v>
      </c>
      <c r="O33" s="5" t="str">
        <f t="shared" si="4"/>
        <v>White</v>
      </c>
      <c r="P33" s="7" t="s">
        <v>610</v>
      </c>
      <c r="Q33" s="8"/>
    </row>
    <row r="34" spans="1:17" ht="42" x14ac:dyDescent="0.3">
      <c r="A34" s="3">
        <v>17</v>
      </c>
      <c r="B34" s="4" t="s">
        <v>412</v>
      </c>
      <c r="C34" s="7"/>
      <c r="D34" s="5"/>
      <c r="E34" s="5"/>
      <c r="F34" s="14"/>
      <c r="G34" s="7"/>
      <c r="H34" s="7"/>
      <c r="I34" s="7"/>
      <c r="J34" s="14"/>
      <c r="K34" s="7"/>
      <c r="L34" s="7"/>
      <c r="M34" s="14"/>
      <c r="N34" s="6"/>
      <c r="O34" s="5"/>
      <c r="P34" s="7" t="s">
        <v>610</v>
      </c>
      <c r="Q34" s="8"/>
    </row>
    <row r="35" spans="1:17" ht="28" x14ac:dyDescent="0.3">
      <c r="A35" s="3">
        <v>17.100000000000001</v>
      </c>
      <c r="B35" s="4" t="s">
        <v>11</v>
      </c>
      <c r="C35" s="7">
        <v>20</v>
      </c>
      <c r="D35" s="5">
        <v>15</v>
      </c>
      <c r="E35" s="5">
        <v>20</v>
      </c>
      <c r="F35" s="13">
        <f>C35+D35+E35</f>
        <v>55</v>
      </c>
      <c r="G35" s="7">
        <v>25</v>
      </c>
      <c r="H35" s="7">
        <v>30</v>
      </c>
      <c r="I35" s="7">
        <v>30</v>
      </c>
      <c r="J35" s="13">
        <f>G35+H35+I35</f>
        <v>85</v>
      </c>
      <c r="K35" s="5">
        <v>30</v>
      </c>
      <c r="L35" s="7">
        <v>20</v>
      </c>
      <c r="M35" s="13">
        <f>K35+L35</f>
        <v>50</v>
      </c>
      <c r="N35" s="6">
        <f>(MAX(F35,J35,M35))+((100-MAX(F35,J35,M35))*((MEDIAN(F35,J35,M35)+MIN(F35,J35,M35))/200))</f>
        <v>92.875</v>
      </c>
      <c r="O35" s="5" t="str">
        <f>IF(N35&gt;=80,"Red",IF(AND(N35&gt;=55,N35&lt;80),"Orange",IF(AND(N35&gt;=25,N35&lt;55),"Green",IF(N35&lt;25,"White"))))</f>
        <v>Red</v>
      </c>
      <c r="P35" s="7" t="s">
        <v>610</v>
      </c>
      <c r="Q35" s="8"/>
    </row>
    <row r="36" spans="1:17" ht="42" x14ac:dyDescent="0.3">
      <c r="A36" s="3">
        <v>17.2</v>
      </c>
      <c r="B36" s="4" t="s">
        <v>12</v>
      </c>
      <c r="C36" s="7">
        <v>20</v>
      </c>
      <c r="D36" s="5">
        <v>15</v>
      </c>
      <c r="E36" s="5">
        <v>20</v>
      </c>
      <c r="F36" s="13">
        <f>C36+D36+E36</f>
        <v>55</v>
      </c>
      <c r="G36" s="7">
        <v>25</v>
      </c>
      <c r="H36" s="7">
        <v>25</v>
      </c>
      <c r="I36" s="7">
        <v>25</v>
      </c>
      <c r="J36" s="13">
        <f>G36+H36+I36</f>
        <v>75</v>
      </c>
      <c r="K36" s="7">
        <v>30</v>
      </c>
      <c r="L36" s="7">
        <v>10</v>
      </c>
      <c r="M36" s="13">
        <f>K36+L36</f>
        <v>40</v>
      </c>
      <c r="N36" s="6">
        <f>(MAX(F36,J36,M36))+((100-MAX(F36,J36,M36))*((MEDIAN(F36,J36,M36)+MIN(F36,J36,M36))/200))</f>
        <v>86.875</v>
      </c>
      <c r="O36" s="5" t="str">
        <f>IF(N36&gt;=80,"Red",IF(AND(N36&gt;=55,N36&lt;80),"Orange",IF(AND(N36&gt;=25,N36&lt;55),"Green",IF(N36&lt;25,"White"))))</f>
        <v>Red</v>
      </c>
      <c r="P36" s="7" t="s">
        <v>610</v>
      </c>
      <c r="Q36" s="8" t="s">
        <v>514</v>
      </c>
    </row>
    <row r="37" spans="1:17" ht="28" x14ac:dyDescent="0.3">
      <c r="A37" s="3">
        <v>17.3</v>
      </c>
      <c r="B37" s="4" t="s">
        <v>13</v>
      </c>
      <c r="C37" s="7">
        <v>20</v>
      </c>
      <c r="D37" s="5">
        <v>15</v>
      </c>
      <c r="E37" s="5">
        <v>20</v>
      </c>
      <c r="F37" s="13">
        <f>C37+D37+E37</f>
        <v>55</v>
      </c>
      <c r="G37" s="7">
        <v>25</v>
      </c>
      <c r="H37" s="7">
        <v>25</v>
      </c>
      <c r="I37" s="7">
        <v>15</v>
      </c>
      <c r="J37" s="13">
        <f>G37+H37+I37</f>
        <v>65</v>
      </c>
      <c r="K37" s="7">
        <v>0</v>
      </c>
      <c r="L37" s="7">
        <v>0</v>
      </c>
      <c r="M37" s="13">
        <f>K37+L37</f>
        <v>0</v>
      </c>
      <c r="N37" s="6">
        <f>(MAX(F37,J37,M37))+((100-MAX(F37,J37,M37))*((MEDIAN(F37,J37,M37)+MIN(F37,J37,M37))/200))</f>
        <v>74.625</v>
      </c>
      <c r="O37" s="5" t="str">
        <f>IF(N37&gt;=80,"Red",IF(AND(N37&gt;=55,N37&lt;80),"Orange",IF(AND(N37&gt;=25,N37&lt;55),"Green",IF(N37&lt;25,"White"))))</f>
        <v>Orange</v>
      </c>
      <c r="P37" s="7" t="s">
        <v>610</v>
      </c>
      <c r="Q37" s="8"/>
    </row>
    <row r="38" spans="1:17" ht="28" x14ac:dyDescent="0.3">
      <c r="A38" s="3">
        <v>18</v>
      </c>
      <c r="B38" s="4" t="s">
        <v>27</v>
      </c>
      <c r="C38" s="7"/>
      <c r="D38" s="5"/>
      <c r="E38" s="5"/>
      <c r="F38" s="14"/>
      <c r="G38" s="7"/>
      <c r="H38" s="5"/>
      <c r="I38" s="5"/>
      <c r="J38" s="14"/>
      <c r="K38" s="7"/>
      <c r="L38" s="7"/>
      <c r="M38" s="14"/>
      <c r="N38" s="6"/>
      <c r="O38" s="5"/>
      <c r="P38" s="7" t="s">
        <v>610</v>
      </c>
      <c r="Q38" s="8"/>
    </row>
    <row r="39" spans="1:17" ht="42" x14ac:dyDescent="0.3">
      <c r="A39" s="3">
        <v>18.100000000000001</v>
      </c>
      <c r="B39" s="4" t="s">
        <v>28</v>
      </c>
      <c r="C39" s="2">
        <v>10</v>
      </c>
      <c r="D39" s="2">
        <v>30</v>
      </c>
      <c r="E39" s="2">
        <v>25</v>
      </c>
      <c r="F39" s="13">
        <f>C39+D39+E39</f>
        <v>65</v>
      </c>
      <c r="G39" s="2">
        <v>30</v>
      </c>
      <c r="H39" s="2">
        <v>30</v>
      </c>
      <c r="I39" s="2">
        <v>20</v>
      </c>
      <c r="J39" s="13">
        <f>G39+H39+I39</f>
        <v>80</v>
      </c>
      <c r="K39" s="7">
        <v>20</v>
      </c>
      <c r="L39" s="2">
        <v>20</v>
      </c>
      <c r="M39" s="13">
        <f>K39+L39</f>
        <v>40</v>
      </c>
      <c r="N39" s="6">
        <f>(MAX(F39,J39,M39))+((100-MAX(F39,J39,M39))*((MEDIAN(F39,J39,M39)+MIN(F39,J39,M39))/200))</f>
        <v>90.5</v>
      </c>
      <c r="O39" s="5" t="str">
        <f>IF(N39&gt;=80,"Red",IF(AND(N39&gt;=55,N39&lt;80),"Orange",IF(AND(N39&gt;=25,N39&lt;55),"Green",IF(N39&lt;25,"White"))))</f>
        <v>Red</v>
      </c>
      <c r="P39" s="7" t="s">
        <v>610</v>
      </c>
      <c r="Q39" s="8"/>
    </row>
    <row r="40" spans="1:17" ht="28" x14ac:dyDescent="0.3">
      <c r="A40" s="3">
        <v>18.2</v>
      </c>
      <c r="B40" s="4" t="s">
        <v>326</v>
      </c>
      <c r="C40" s="7">
        <v>20</v>
      </c>
      <c r="D40" s="5">
        <v>30</v>
      </c>
      <c r="E40" s="5">
        <v>20</v>
      </c>
      <c r="F40" s="13">
        <f>C40+D40+E40</f>
        <v>70</v>
      </c>
      <c r="G40" s="7">
        <v>35</v>
      </c>
      <c r="H40" s="5">
        <v>25</v>
      </c>
      <c r="I40" s="5">
        <v>10</v>
      </c>
      <c r="J40" s="13">
        <f>G40+H40+I40</f>
        <v>70</v>
      </c>
      <c r="K40" s="2">
        <v>10</v>
      </c>
      <c r="L40" s="7">
        <v>30</v>
      </c>
      <c r="M40" s="13">
        <f>K40+L40</f>
        <v>40</v>
      </c>
      <c r="N40" s="6">
        <f>(MAX(F40,J40,M40))+((100-MAX(F40,J40,M40))*((MEDIAN(F40,J40,M40)+MIN(F40,J40,M40))/200))</f>
        <v>86.5</v>
      </c>
      <c r="O40" s="5" t="str">
        <f>IF(N40&gt;=80,"Red",IF(AND(N40&gt;=55,N40&lt;80),"Orange",IF(AND(N40&gt;=25,N40&lt;55),"Green",IF(N40&lt;25,"White"))))</f>
        <v>Red</v>
      </c>
      <c r="P40" s="7" t="s">
        <v>610</v>
      </c>
      <c r="Q40" s="8"/>
    </row>
    <row r="41" spans="1:17" ht="28" x14ac:dyDescent="0.3">
      <c r="A41" s="3">
        <v>18.3</v>
      </c>
      <c r="B41" s="4" t="s">
        <v>29</v>
      </c>
      <c r="C41" s="7">
        <v>20</v>
      </c>
      <c r="D41" s="5">
        <v>30</v>
      </c>
      <c r="E41" s="5">
        <v>20</v>
      </c>
      <c r="F41" s="13">
        <f>C41+D41+E41</f>
        <v>70</v>
      </c>
      <c r="G41" s="5">
        <v>30</v>
      </c>
      <c r="H41" s="5">
        <v>20</v>
      </c>
      <c r="I41" s="5">
        <v>25</v>
      </c>
      <c r="J41" s="14">
        <f>G41+H41+I41</f>
        <v>75</v>
      </c>
      <c r="K41" s="7">
        <v>20</v>
      </c>
      <c r="L41" s="5">
        <v>20</v>
      </c>
      <c r="M41" s="14">
        <f>K41+L41</f>
        <v>40</v>
      </c>
      <c r="N41" s="6">
        <f>(MAX(F41,J41,M41))+((100-MAX(F41,J41,M41))*((MEDIAN(F41,J41,M41)+MIN(F41,J41,M41))/200))</f>
        <v>88.75</v>
      </c>
      <c r="O41" s="5" t="str">
        <f>IF(N41&gt;=80,"Red",IF(AND(N41&gt;=55,N41&lt;80),"Orange",IF(AND(N41&gt;=25,N41&lt;55),"Green",IF(N41&lt;25,"White"))))</f>
        <v>Red</v>
      </c>
      <c r="P41" s="7" t="s">
        <v>610</v>
      </c>
      <c r="Q41" s="8"/>
    </row>
    <row r="42" spans="1:17" ht="28" x14ac:dyDescent="0.3">
      <c r="A42" s="3">
        <v>18.399999999999999</v>
      </c>
      <c r="B42" s="4" t="s">
        <v>30</v>
      </c>
      <c r="C42" s="2">
        <v>10</v>
      </c>
      <c r="D42" s="2">
        <v>30</v>
      </c>
      <c r="E42" s="2">
        <v>25</v>
      </c>
      <c r="F42" s="13">
        <f>C42+D42+E42</f>
        <v>65</v>
      </c>
      <c r="G42" s="2">
        <v>35</v>
      </c>
      <c r="H42" s="2">
        <v>20</v>
      </c>
      <c r="I42" s="2">
        <v>10</v>
      </c>
      <c r="J42" s="13">
        <f>G42+H42+I42</f>
        <v>65</v>
      </c>
      <c r="K42" s="7">
        <v>20</v>
      </c>
      <c r="L42" s="2">
        <v>20</v>
      </c>
      <c r="M42" s="13">
        <f>K42+L42</f>
        <v>40</v>
      </c>
      <c r="N42" s="6">
        <f>(MAX(F42,J42,M42))+((100-MAX(F42,J42,M42))*((MEDIAN(F42,J42,M42)+MIN(F42,J42,M42))/200))</f>
        <v>83.375</v>
      </c>
      <c r="O42" s="5" t="str">
        <f>IF(N42&gt;=80,"Red",IF(AND(N42&gt;=55,N42&lt;80),"Orange",IF(AND(N42&gt;=25,N42&lt;55),"Green",IF(N42&lt;25,"White"))))</f>
        <v>Red</v>
      </c>
      <c r="P42" s="7" t="s">
        <v>610</v>
      </c>
      <c r="Q42" s="8"/>
    </row>
    <row r="43" spans="1:17" ht="28" x14ac:dyDescent="0.3">
      <c r="A43" s="3">
        <v>19</v>
      </c>
      <c r="B43" s="4" t="s">
        <v>441</v>
      </c>
      <c r="C43" s="2">
        <v>30</v>
      </c>
      <c r="D43" s="5">
        <v>30</v>
      </c>
      <c r="E43" s="5">
        <v>30</v>
      </c>
      <c r="F43" s="13">
        <f>C43+D43+E43</f>
        <v>90</v>
      </c>
      <c r="G43" s="2">
        <v>25</v>
      </c>
      <c r="H43" s="5">
        <v>30</v>
      </c>
      <c r="I43" s="5">
        <v>35</v>
      </c>
      <c r="J43" s="13">
        <f>G43+H43+I43</f>
        <v>90</v>
      </c>
      <c r="K43" s="7">
        <v>25</v>
      </c>
      <c r="L43" s="2">
        <v>50</v>
      </c>
      <c r="M43" s="13">
        <f>K43+L43</f>
        <v>75</v>
      </c>
      <c r="N43" s="6">
        <f>(MAX(F43,J43,M43))+((100-MAX(F43,J43,M43))*((MEDIAN(F43,J43,M43)+MIN(F43,J43,M43))/200))</f>
        <v>98.25</v>
      </c>
      <c r="O43" s="5" t="str">
        <f>IF(N43&gt;=80,"Red",IF(AND(N43&gt;=55,N43&lt;80),"Orange",IF(AND(N43&gt;=25,N43&lt;55),"Green",IF(N43&lt;25,"White"))))</f>
        <v>Red</v>
      </c>
      <c r="P43" s="7" t="s">
        <v>610</v>
      </c>
      <c r="Q43" s="8"/>
    </row>
    <row r="44" spans="1:17" ht="28" x14ac:dyDescent="0.3">
      <c r="A44" s="3">
        <v>20</v>
      </c>
      <c r="B44" s="4" t="s">
        <v>37</v>
      </c>
      <c r="C44" s="5"/>
      <c r="D44" s="5"/>
      <c r="E44" s="5"/>
      <c r="F44" s="14"/>
      <c r="G44" s="7"/>
      <c r="H44" s="7"/>
      <c r="I44" s="7"/>
      <c r="J44" s="14"/>
      <c r="K44" s="7"/>
      <c r="L44" s="7"/>
      <c r="M44" s="14"/>
      <c r="N44" s="6"/>
      <c r="O44" s="5"/>
      <c r="P44" s="7" t="s">
        <v>610</v>
      </c>
      <c r="Q44" s="8"/>
    </row>
    <row r="45" spans="1:17" ht="28" x14ac:dyDescent="0.3">
      <c r="A45" s="3">
        <v>20.100000000000001</v>
      </c>
      <c r="B45" s="4" t="s">
        <v>38</v>
      </c>
      <c r="C45" s="5">
        <v>20</v>
      </c>
      <c r="D45" s="5">
        <v>25</v>
      </c>
      <c r="E45" s="5">
        <v>35</v>
      </c>
      <c r="F45" s="14">
        <f t="shared" ref="F45:F51" si="5">C45+D45+E45</f>
        <v>80</v>
      </c>
      <c r="G45" s="2">
        <v>35</v>
      </c>
      <c r="H45" s="2">
        <v>30</v>
      </c>
      <c r="I45" s="2">
        <v>35</v>
      </c>
      <c r="J45" s="13">
        <f t="shared" ref="J45:J51" si="6">G45+H45+I45</f>
        <v>100</v>
      </c>
      <c r="K45" s="2">
        <v>10</v>
      </c>
      <c r="L45" s="2">
        <v>50</v>
      </c>
      <c r="M45" s="13">
        <f t="shared" ref="M45:M51" si="7">K45+L45</f>
        <v>60</v>
      </c>
      <c r="N45" s="6">
        <f t="shared" ref="N45:N51" si="8">(MAX(F45,J45,M45))+((100-MAX(F45,J45,M45))*((MEDIAN(F45,J45,M45)+MIN(F45,J45,M45))/200))</f>
        <v>100</v>
      </c>
      <c r="O45" s="5" t="str">
        <f t="shared" ref="O45:O51" si="9">IF(N45&gt;=80,"Red",IF(AND(N45&gt;=55,N45&lt;80),"Orange",IF(AND(N45&gt;=25,N45&lt;55),"Green",IF(N45&lt;25,"White"))))</f>
        <v>Red</v>
      </c>
      <c r="P45" s="7" t="s">
        <v>610</v>
      </c>
      <c r="Q45" s="8"/>
    </row>
    <row r="46" spans="1:17" ht="28" x14ac:dyDescent="0.3">
      <c r="A46" s="3">
        <v>20.2</v>
      </c>
      <c r="B46" s="4" t="s">
        <v>39</v>
      </c>
      <c r="C46" s="5">
        <v>20</v>
      </c>
      <c r="D46" s="5">
        <v>0</v>
      </c>
      <c r="E46" s="5">
        <v>20</v>
      </c>
      <c r="F46" s="14">
        <f t="shared" si="5"/>
        <v>40</v>
      </c>
      <c r="G46" s="2">
        <v>35</v>
      </c>
      <c r="H46" s="2">
        <v>30</v>
      </c>
      <c r="I46" s="2">
        <v>35</v>
      </c>
      <c r="J46" s="13">
        <f t="shared" si="6"/>
        <v>100</v>
      </c>
      <c r="K46" s="5">
        <v>30</v>
      </c>
      <c r="L46" s="2">
        <v>20</v>
      </c>
      <c r="M46" s="13">
        <f t="shared" si="7"/>
        <v>50</v>
      </c>
      <c r="N46" s="6">
        <f t="shared" si="8"/>
        <v>100</v>
      </c>
      <c r="O46" s="5" t="str">
        <f t="shared" si="9"/>
        <v>Red</v>
      </c>
      <c r="P46" s="7" t="s">
        <v>610</v>
      </c>
      <c r="Q46" s="8"/>
    </row>
    <row r="47" spans="1:17" ht="28" x14ac:dyDescent="0.3">
      <c r="A47" s="3">
        <v>20.3</v>
      </c>
      <c r="B47" s="4" t="s">
        <v>40</v>
      </c>
      <c r="C47" s="5">
        <v>10</v>
      </c>
      <c r="D47" s="5">
        <v>25</v>
      </c>
      <c r="E47" s="5">
        <v>35</v>
      </c>
      <c r="F47" s="14">
        <f t="shared" si="5"/>
        <v>70</v>
      </c>
      <c r="G47" s="2">
        <v>35</v>
      </c>
      <c r="H47" s="2">
        <v>30</v>
      </c>
      <c r="I47" s="2">
        <v>35</v>
      </c>
      <c r="J47" s="13">
        <f t="shared" si="6"/>
        <v>100</v>
      </c>
      <c r="K47" s="2">
        <v>10</v>
      </c>
      <c r="L47" s="2">
        <v>50</v>
      </c>
      <c r="M47" s="13">
        <f t="shared" si="7"/>
        <v>60</v>
      </c>
      <c r="N47" s="6">
        <f t="shared" si="8"/>
        <v>100</v>
      </c>
      <c r="O47" s="5" t="str">
        <f t="shared" si="9"/>
        <v>Red</v>
      </c>
      <c r="P47" s="7" t="s">
        <v>610</v>
      </c>
      <c r="Q47" s="8"/>
    </row>
    <row r="48" spans="1:17" ht="28" x14ac:dyDescent="0.3">
      <c r="A48" s="3">
        <v>20.399999999999999</v>
      </c>
      <c r="B48" s="4" t="s">
        <v>41</v>
      </c>
      <c r="C48" s="5">
        <v>0</v>
      </c>
      <c r="D48" s="5">
        <v>0</v>
      </c>
      <c r="E48" s="5">
        <v>0</v>
      </c>
      <c r="F48" s="14">
        <f t="shared" si="5"/>
        <v>0</v>
      </c>
      <c r="G48" s="2">
        <v>25</v>
      </c>
      <c r="H48" s="2">
        <v>30</v>
      </c>
      <c r="I48" s="2">
        <v>35</v>
      </c>
      <c r="J48" s="13">
        <f t="shared" si="6"/>
        <v>90</v>
      </c>
      <c r="K48" s="5">
        <v>30</v>
      </c>
      <c r="L48" s="2">
        <v>10</v>
      </c>
      <c r="M48" s="13">
        <f t="shared" si="7"/>
        <v>40</v>
      </c>
      <c r="N48" s="6">
        <f t="shared" si="8"/>
        <v>92</v>
      </c>
      <c r="O48" s="5" t="str">
        <f t="shared" si="9"/>
        <v>Red</v>
      </c>
      <c r="P48" s="7" t="s">
        <v>610</v>
      </c>
      <c r="Q48" s="8"/>
    </row>
    <row r="49" spans="1:17" ht="28" x14ac:dyDescent="0.3">
      <c r="A49" s="3">
        <v>20.5</v>
      </c>
      <c r="B49" s="4" t="s">
        <v>42</v>
      </c>
      <c r="C49" s="5">
        <v>20</v>
      </c>
      <c r="D49" s="5">
        <v>25</v>
      </c>
      <c r="E49" s="5">
        <v>35</v>
      </c>
      <c r="F49" s="14">
        <f t="shared" si="5"/>
        <v>80</v>
      </c>
      <c r="G49" s="2">
        <v>25</v>
      </c>
      <c r="H49" s="2">
        <v>30</v>
      </c>
      <c r="I49" s="2">
        <v>35</v>
      </c>
      <c r="J49" s="13">
        <f t="shared" si="6"/>
        <v>90</v>
      </c>
      <c r="K49" s="2">
        <v>10</v>
      </c>
      <c r="L49" s="2">
        <v>50</v>
      </c>
      <c r="M49" s="13">
        <f t="shared" si="7"/>
        <v>60</v>
      </c>
      <c r="N49" s="6">
        <f t="shared" si="8"/>
        <v>97</v>
      </c>
      <c r="O49" s="5" t="str">
        <f t="shared" si="9"/>
        <v>Red</v>
      </c>
      <c r="P49" s="7" t="s">
        <v>610</v>
      </c>
      <c r="Q49" s="8"/>
    </row>
    <row r="50" spans="1:17" ht="28" x14ac:dyDescent="0.3">
      <c r="A50" s="3">
        <v>20.6</v>
      </c>
      <c r="B50" s="4" t="s">
        <v>43</v>
      </c>
      <c r="C50" s="5">
        <v>0</v>
      </c>
      <c r="D50" s="5">
        <v>0</v>
      </c>
      <c r="E50" s="5">
        <v>0</v>
      </c>
      <c r="F50" s="14">
        <f t="shared" si="5"/>
        <v>0</v>
      </c>
      <c r="G50" s="2">
        <v>25</v>
      </c>
      <c r="H50" s="2">
        <v>30</v>
      </c>
      <c r="I50" s="2">
        <v>0</v>
      </c>
      <c r="J50" s="13">
        <f t="shared" si="6"/>
        <v>55</v>
      </c>
      <c r="K50" s="5">
        <v>30</v>
      </c>
      <c r="L50" s="2">
        <v>10</v>
      </c>
      <c r="M50" s="13">
        <f t="shared" si="7"/>
        <v>40</v>
      </c>
      <c r="N50" s="6">
        <f t="shared" si="8"/>
        <v>64</v>
      </c>
      <c r="O50" s="5" t="str">
        <f t="shared" si="9"/>
        <v>Orange</v>
      </c>
      <c r="P50" s="7" t="s">
        <v>610</v>
      </c>
      <c r="Q50" s="8"/>
    </row>
    <row r="51" spans="1:17" ht="28" x14ac:dyDescent="0.3">
      <c r="A51" s="3">
        <v>20.7</v>
      </c>
      <c r="B51" s="4" t="s">
        <v>285</v>
      </c>
      <c r="C51" s="5">
        <v>0</v>
      </c>
      <c r="D51" s="5">
        <v>0</v>
      </c>
      <c r="E51" s="5">
        <v>0</v>
      </c>
      <c r="F51" s="14">
        <f t="shared" si="5"/>
        <v>0</v>
      </c>
      <c r="G51" s="2">
        <v>0</v>
      </c>
      <c r="H51" s="2">
        <v>30</v>
      </c>
      <c r="I51" s="2">
        <v>0</v>
      </c>
      <c r="J51" s="13">
        <f t="shared" si="6"/>
        <v>30</v>
      </c>
      <c r="K51" s="5">
        <v>0</v>
      </c>
      <c r="L51" s="2">
        <v>0</v>
      </c>
      <c r="M51" s="13">
        <f t="shared" si="7"/>
        <v>0</v>
      </c>
      <c r="N51" s="6">
        <f t="shared" si="8"/>
        <v>30</v>
      </c>
      <c r="O51" s="5" t="str">
        <f t="shared" si="9"/>
        <v>Green</v>
      </c>
      <c r="P51" s="7" t="s">
        <v>610</v>
      </c>
      <c r="Q51" s="8"/>
    </row>
    <row r="52" spans="1:17" ht="28" x14ac:dyDescent="0.3">
      <c r="A52" s="3">
        <v>21</v>
      </c>
      <c r="B52" s="4" t="s">
        <v>59</v>
      </c>
      <c r="C52" s="2"/>
      <c r="D52" s="2"/>
      <c r="E52" s="2"/>
      <c r="F52" s="14"/>
      <c r="G52" s="2"/>
      <c r="H52" s="2"/>
      <c r="I52" s="2"/>
      <c r="J52" s="14"/>
      <c r="K52" s="2"/>
      <c r="L52" s="2"/>
      <c r="M52" s="14"/>
      <c r="N52" s="6"/>
      <c r="O52" s="5"/>
      <c r="P52" s="7" t="s">
        <v>610</v>
      </c>
      <c r="Q52" s="8"/>
    </row>
    <row r="53" spans="1:17" ht="28" x14ac:dyDescent="0.3">
      <c r="A53" s="3">
        <v>21.1</v>
      </c>
      <c r="B53" s="4" t="s">
        <v>59</v>
      </c>
      <c r="C53" s="2">
        <v>10</v>
      </c>
      <c r="D53" s="2">
        <v>20</v>
      </c>
      <c r="E53" s="2">
        <v>25</v>
      </c>
      <c r="F53" s="13">
        <f>C53+D53+E53</f>
        <v>55</v>
      </c>
      <c r="G53" s="2">
        <v>30</v>
      </c>
      <c r="H53" s="2">
        <v>25</v>
      </c>
      <c r="I53" s="2">
        <v>25</v>
      </c>
      <c r="J53" s="13">
        <f>G53+H53+I53</f>
        <v>80</v>
      </c>
      <c r="K53" s="7">
        <v>20</v>
      </c>
      <c r="L53" s="2">
        <v>20</v>
      </c>
      <c r="M53" s="13">
        <f>K53+L53</f>
        <v>40</v>
      </c>
      <c r="N53" s="6">
        <f>(MAX(F53,J53,M53))+((100-MAX(F53,J53,M53))*((MEDIAN(F53,J53,M53)+MIN(F53,J53,M53))/200))</f>
        <v>89.5</v>
      </c>
      <c r="O53" s="5" t="str">
        <f>IF(N53&gt;=80,"Red",IF(AND(N53&gt;=55,N53&lt;80),"Orange",IF(AND(N53&gt;=25,N53&lt;55),"Green",IF(N53&lt;25,"White"))))</f>
        <v>Red</v>
      </c>
      <c r="P53" s="7" t="s">
        <v>610</v>
      </c>
      <c r="Q53" s="8"/>
    </row>
    <row r="54" spans="1:17" ht="28" x14ac:dyDescent="0.3">
      <c r="A54" s="3">
        <v>21.2</v>
      </c>
      <c r="B54" s="4" t="s">
        <v>60</v>
      </c>
      <c r="C54" s="7">
        <v>10</v>
      </c>
      <c r="D54" s="5">
        <v>20</v>
      </c>
      <c r="E54" s="5">
        <v>15</v>
      </c>
      <c r="F54" s="13">
        <f>C54+D54+E54</f>
        <v>45</v>
      </c>
      <c r="G54" s="7">
        <v>30</v>
      </c>
      <c r="H54" s="5">
        <v>25</v>
      </c>
      <c r="I54" s="5">
        <v>25</v>
      </c>
      <c r="J54" s="13">
        <f>G54+H54+I54</f>
        <v>80</v>
      </c>
      <c r="K54" s="7">
        <v>20</v>
      </c>
      <c r="L54" s="7">
        <v>10</v>
      </c>
      <c r="M54" s="13">
        <f>K54+L54</f>
        <v>30</v>
      </c>
      <c r="N54" s="6">
        <f>(MAX(F54,J54,M54))+((100-MAX(F54,J54,M54))*((MEDIAN(F54,J54,M54)+MIN(F54,J54,M54))/200))</f>
        <v>87.5</v>
      </c>
      <c r="O54" s="5" t="str">
        <f>IF(N54&gt;=80,"Red",IF(AND(N54&gt;=55,N54&lt;80),"Orange",IF(AND(N54&gt;=25,N54&lt;55),"Green",IF(N54&lt;25,"White"))))</f>
        <v>Red</v>
      </c>
      <c r="P54" s="7" t="s">
        <v>610</v>
      </c>
      <c r="Q54" s="8"/>
    </row>
    <row r="55" spans="1:17" ht="28" x14ac:dyDescent="0.3">
      <c r="A55" s="3">
        <v>21.3</v>
      </c>
      <c r="B55" s="4" t="s">
        <v>61</v>
      </c>
      <c r="C55" s="7">
        <v>10</v>
      </c>
      <c r="D55" s="5">
        <v>20</v>
      </c>
      <c r="E55" s="5">
        <v>25</v>
      </c>
      <c r="F55" s="13">
        <f>C55+D55+E55</f>
        <v>55</v>
      </c>
      <c r="G55" s="7">
        <v>30</v>
      </c>
      <c r="H55" s="5">
        <v>25</v>
      </c>
      <c r="I55" s="5">
        <v>10</v>
      </c>
      <c r="J55" s="13">
        <f>G55+H55+I55</f>
        <v>65</v>
      </c>
      <c r="K55" s="7">
        <v>20</v>
      </c>
      <c r="L55" s="7">
        <v>20</v>
      </c>
      <c r="M55" s="13">
        <f>K55+L55</f>
        <v>40</v>
      </c>
      <c r="N55" s="6">
        <f>(MAX(F55,J55,M55))+((100-MAX(F55,J55,M55))*((MEDIAN(F55,J55,M55)+MIN(F55,J55,M55))/200))</f>
        <v>81.625</v>
      </c>
      <c r="O55" s="5" t="str">
        <f>IF(N55&gt;=80,"Red",IF(AND(N55&gt;=55,N55&lt;80),"Orange",IF(AND(N55&gt;=25,N55&lt;55),"Green",IF(N55&lt;25,"White"))))</f>
        <v>Red</v>
      </c>
      <c r="P55" s="7" t="s">
        <v>610</v>
      </c>
      <c r="Q55" s="8"/>
    </row>
    <row r="56" spans="1:17" ht="42" x14ac:dyDescent="0.3">
      <c r="A56" s="3">
        <v>21.4</v>
      </c>
      <c r="B56" s="4" t="s">
        <v>62</v>
      </c>
      <c r="C56" s="7">
        <v>10</v>
      </c>
      <c r="D56" s="5">
        <v>20</v>
      </c>
      <c r="E56" s="5">
        <v>15</v>
      </c>
      <c r="F56" s="13">
        <f>C56+D56+E56</f>
        <v>45</v>
      </c>
      <c r="G56" s="7">
        <v>30</v>
      </c>
      <c r="H56" s="5">
        <v>25</v>
      </c>
      <c r="I56" s="5">
        <v>10</v>
      </c>
      <c r="J56" s="13">
        <f>G56+H56+I56</f>
        <v>65</v>
      </c>
      <c r="K56" s="7">
        <v>20</v>
      </c>
      <c r="L56" s="7">
        <v>10</v>
      </c>
      <c r="M56" s="13">
        <f>K56+L56</f>
        <v>30</v>
      </c>
      <c r="N56" s="6">
        <f>(MAX(F56,J56,M56))+((100-MAX(F56,J56,M56))*((MEDIAN(F56,J56,M56)+MIN(F56,J56,M56))/200))</f>
        <v>78.125</v>
      </c>
      <c r="O56" s="5" t="str">
        <f>IF(N56&gt;=80,"Red",IF(AND(N56&gt;=55,N56&lt;80),"Orange",IF(AND(N56&gt;=25,N56&lt;55),"Green",IF(N56&lt;25,"White"))))</f>
        <v>Orange</v>
      </c>
      <c r="P56" s="7" t="s">
        <v>610</v>
      </c>
      <c r="Q56" s="8" t="s">
        <v>522</v>
      </c>
    </row>
    <row r="57" spans="1:17" ht="42" x14ac:dyDescent="0.3">
      <c r="A57" s="3">
        <v>22</v>
      </c>
      <c r="B57" s="4" t="s">
        <v>377</v>
      </c>
      <c r="C57" s="7">
        <v>0</v>
      </c>
      <c r="D57" s="7">
        <v>15</v>
      </c>
      <c r="E57" s="7">
        <v>15</v>
      </c>
      <c r="F57" s="13">
        <f>C57+D57+E57</f>
        <v>30</v>
      </c>
      <c r="G57" s="7">
        <v>30</v>
      </c>
      <c r="H57" s="7">
        <v>0</v>
      </c>
      <c r="I57" s="7">
        <v>0</v>
      </c>
      <c r="J57" s="13">
        <f>G57+H57+I57</f>
        <v>30</v>
      </c>
      <c r="K57" s="7">
        <v>20</v>
      </c>
      <c r="L57" s="7">
        <v>10</v>
      </c>
      <c r="M57" s="13">
        <f>K57+L57</f>
        <v>30</v>
      </c>
      <c r="N57" s="6">
        <f>(MAX(F57,J57,M57))+((100-MAX(F57,J57,M57))*((MEDIAN(F57,J57,M57)+MIN(F57,J57,M57))/200))</f>
        <v>51</v>
      </c>
      <c r="O57" s="5" t="str">
        <f>IF(N57&gt;=80,"Red",IF(AND(N57&gt;=55,N57&lt;80),"Orange",IF(AND(N57&gt;=25,N57&lt;55),"Green",IF(N57&lt;25,"White"))))</f>
        <v>Green</v>
      </c>
      <c r="P57" s="7" t="s">
        <v>610</v>
      </c>
      <c r="Q57" s="8"/>
    </row>
    <row r="58" spans="1:17" ht="28" x14ac:dyDescent="0.3">
      <c r="A58" s="3">
        <v>23</v>
      </c>
      <c r="B58" s="4" t="s">
        <v>451</v>
      </c>
      <c r="C58" s="5"/>
      <c r="D58" s="5"/>
      <c r="E58" s="5"/>
      <c r="F58" s="14"/>
      <c r="G58" s="5"/>
      <c r="H58" s="5"/>
      <c r="I58" s="5"/>
      <c r="J58" s="14"/>
      <c r="K58" s="5"/>
      <c r="L58" s="5"/>
      <c r="M58" s="14"/>
      <c r="N58" s="6"/>
      <c r="O58" s="5"/>
      <c r="P58" s="7" t="s">
        <v>610</v>
      </c>
      <c r="Q58" s="8"/>
    </row>
    <row r="59" spans="1:17" ht="28" x14ac:dyDescent="0.3">
      <c r="A59" s="3">
        <v>23.1</v>
      </c>
      <c r="B59" s="4" t="s">
        <v>489</v>
      </c>
      <c r="C59" s="5">
        <v>25</v>
      </c>
      <c r="D59" s="5">
        <v>0</v>
      </c>
      <c r="E59" s="5">
        <v>25</v>
      </c>
      <c r="F59" s="14">
        <f>C59+D59+E59</f>
        <v>50</v>
      </c>
      <c r="G59" s="5">
        <v>25</v>
      </c>
      <c r="H59" s="5">
        <v>25</v>
      </c>
      <c r="I59" s="5">
        <v>20</v>
      </c>
      <c r="J59" s="14">
        <f>G59+H59+I59</f>
        <v>70</v>
      </c>
      <c r="K59" s="5">
        <v>0</v>
      </c>
      <c r="L59" s="5">
        <v>0</v>
      </c>
      <c r="M59" s="14">
        <f>K59+L59</f>
        <v>0</v>
      </c>
      <c r="N59" s="6">
        <f>(MAX(F59,J59,M59))+((100-MAX(F59,J59,M59))*((MEDIAN(F59,J59,M59)+MIN(F59,J59,M59))/200))</f>
        <v>77.5</v>
      </c>
      <c r="O59" s="5" t="str">
        <f>IF(N59&gt;=80,"Red",IF(AND(N59&gt;=55,N59&lt;80),"Orange",IF(AND(N59&gt;=25,N59&lt;55),"Green",IF(N59&lt;25,"White"))))</f>
        <v>Orange</v>
      </c>
      <c r="P59" s="7" t="s">
        <v>610</v>
      </c>
      <c r="Q59" s="8"/>
    </row>
    <row r="60" spans="1:17" ht="28" x14ac:dyDescent="0.3">
      <c r="A60" s="3">
        <v>23.2</v>
      </c>
      <c r="B60" s="4" t="s">
        <v>488</v>
      </c>
      <c r="C60" s="5">
        <v>25</v>
      </c>
      <c r="D60" s="5">
        <v>0</v>
      </c>
      <c r="E60" s="5">
        <v>20</v>
      </c>
      <c r="F60" s="14">
        <f>C60+D60+E60</f>
        <v>45</v>
      </c>
      <c r="G60" s="5">
        <v>0</v>
      </c>
      <c r="H60" s="5">
        <v>25</v>
      </c>
      <c r="I60" s="5">
        <v>0</v>
      </c>
      <c r="J60" s="14">
        <f>G60+H60+I60</f>
        <v>25</v>
      </c>
      <c r="K60" s="5">
        <v>0</v>
      </c>
      <c r="L60" s="5">
        <v>0</v>
      </c>
      <c r="M60" s="14">
        <f>K60+L60</f>
        <v>0</v>
      </c>
      <c r="N60" s="6">
        <f>(MAX(F60,J60,M60))+((100-MAX(F60,J60,M60))*((MEDIAN(F60,J60,M60)+MIN(F60,J60,M60))/200))</f>
        <v>51.875</v>
      </c>
      <c r="O60" s="5" t="str">
        <f>IF(N60&gt;=80,"Red",IF(AND(N60&gt;=55,N60&lt;80),"Orange",IF(AND(N60&gt;=25,N60&lt;55),"Green",IF(N60&lt;25,"White"))))</f>
        <v>Green</v>
      </c>
      <c r="P60" s="7" t="s">
        <v>610</v>
      </c>
      <c r="Q60" s="8"/>
    </row>
    <row r="61" spans="1:17" ht="56" x14ac:dyDescent="0.3">
      <c r="A61" s="3">
        <v>23.3</v>
      </c>
      <c r="B61" s="4" t="s">
        <v>490</v>
      </c>
      <c r="C61" s="5">
        <v>0</v>
      </c>
      <c r="D61" s="5">
        <v>0</v>
      </c>
      <c r="E61" s="5">
        <v>0</v>
      </c>
      <c r="F61" s="14">
        <f>C61+D61+E61</f>
        <v>0</v>
      </c>
      <c r="G61" s="5">
        <v>0</v>
      </c>
      <c r="H61" s="5">
        <v>20</v>
      </c>
      <c r="I61" s="5">
        <v>0</v>
      </c>
      <c r="J61" s="14">
        <f>G61+H61+I61</f>
        <v>20</v>
      </c>
      <c r="K61" s="5">
        <v>0</v>
      </c>
      <c r="L61" s="5">
        <v>0</v>
      </c>
      <c r="M61" s="14">
        <f>K61+L61</f>
        <v>0</v>
      </c>
      <c r="N61" s="6">
        <f>(MAX(F61,J61,M61))+((100-MAX(F61,J61,M61))*((MEDIAN(F61,J61,M61)+MIN(F61,J61,M61))/200))</f>
        <v>20</v>
      </c>
      <c r="O61" s="5" t="str">
        <f>IF(N61&gt;=80,"Red",IF(AND(N61&gt;=55,N61&lt;80),"Orange",IF(AND(N61&gt;=25,N61&lt;55),"Green",IF(N61&lt;25,"White"))))</f>
        <v>White</v>
      </c>
      <c r="P61" s="7" t="s">
        <v>610</v>
      </c>
      <c r="Q61" s="8"/>
    </row>
    <row r="62" spans="1:17" ht="28" x14ac:dyDescent="0.3">
      <c r="A62" s="3">
        <v>24</v>
      </c>
      <c r="B62" s="4" t="s">
        <v>139</v>
      </c>
      <c r="C62" s="5"/>
      <c r="D62" s="5"/>
      <c r="E62" s="5"/>
      <c r="F62" s="14"/>
      <c r="G62" s="7"/>
      <c r="H62" s="5"/>
      <c r="I62" s="5"/>
      <c r="J62" s="13"/>
      <c r="K62" s="7"/>
      <c r="L62" s="7"/>
      <c r="M62" s="13"/>
      <c r="N62" s="6"/>
      <c r="O62" s="5"/>
      <c r="P62" s="7" t="s">
        <v>610</v>
      </c>
      <c r="Q62" s="8"/>
    </row>
    <row r="63" spans="1:17" ht="56" x14ac:dyDescent="0.3">
      <c r="A63" s="3">
        <v>24.1</v>
      </c>
      <c r="B63" s="4" t="s">
        <v>355</v>
      </c>
      <c r="C63" s="5">
        <v>0</v>
      </c>
      <c r="D63" s="5">
        <v>0</v>
      </c>
      <c r="E63" s="5">
        <v>0</v>
      </c>
      <c r="F63" s="14">
        <f t="shared" ref="F63:F70" si="10">C63+D63+E63</f>
        <v>0</v>
      </c>
      <c r="G63" s="7">
        <v>25</v>
      </c>
      <c r="H63" s="5">
        <v>25</v>
      </c>
      <c r="I63" s="5">
        <v>30</v>
      </c>
      <c r="J63" s="13">
        <f t="shared" ref="J63:J70" si="11">G63+H63+I63</f>
        <v>80</v>
      </c>
      <c r="K63" s="7">
        <v>0</v>
      </c>
      <c r="L63" s="7">
        <v>0</v>
      </c>
      <c r="M63" s="13">
        <f t="shared" ref="M63:M70" si="12">K63+L63</f>
        <v>0</v>
      </c>
      <c r="N63" s="6">
        <f t="shared" ref="N63:N70" si="13">(MAX(F63,J63,M63))+((100-MAX(F63,J63,M63))*((MEDIAN(F63,J63,M63)+MIN(F63,J63,M63))/200))</f>
        <v>80</v>
      </c>
      <c r="O63" s="5" t="str">
        <f t="shared" ref="O63:O70" si="14">IF(N63&gt;=80,"Red",IF(AND(N63&gt;=55,N63&lt;80),"Orange",IF(AND(N63&gt;=25,N63&lt;55),"Green",IF(N63&lt;25,"White"))))</f>
        <v>Red</v>
      </c>
      <c r="P63" s="7" t="s">
        <v>610</v>
      </c>
      <c r="Q63" s="8"/>
    </row>
    <row r="64" spans="1:17" ht="56" x14ac:dyDescent="0.3">
      <c r="A64" s="3">
        <v>24.2</v>
      </c>
      <c r="B64" s="4" t="s">
        <v>357</v>
      </c>
      <c r="C64" s="5">
        <v>0</v>
      </c>
      <c r="D64" s="5">
        <v>0</v>
      </c>
      <c r="E64" s="5">
        <v>0</v>
      </c>
      <c r="F64" s="14">
        <f t="shared" si="10"/>
        <v>0</v>
      </c>
      <c r="G64" s="7">
        <v>25</v>
      </c>
      <c r="H64" s="5">
        <v>25</v>
      </c>
      <c r="I64" s="5">
        <v>25</v>
      </c>
      <c r="J64" s="13">
        <f t="shared" si="11"/>
        <v>75</v>
      </c>
      <c r="K64" s="7">
        <v>0</v>
      </c>
      <c r="L64" s="7">
        <v>0</v>
      </c>
      <c r="M64" s="13">
        <f t="shared" si="12"/>
        <v>0</v>
      </c>
      <c r="N64" s="6">
        <f t="shared" si="13"/>
        <v>75</v>
      </c>
      <c r="O64" s="5" t="str">
        <f t="shared" si="14"/>
        <v>Orange</v>
      </c>
      <c r="P64" s="7" t="s">
        <v>610</v>
      </c>
      <c r="Q64" s="8"/>
    </row>
    <row r="65" spans="1:17" ht="42" x14ac:dyDescent="0.3">
      <c r="A65" s="3">
        <v>24.3</v>
      </c>
      <c r="B65" s="4" t="s">
        <v>356</v>
      </c>
      <c r="C65" s="5">
        <v>0</v>
      </c>
      <c r="D65" s="5">
        <v>0</v>
      </c>
      <c r="E65" s="5">
        <v>0</v>
      </c>
      <c r="F65" s="14">
        <f t="shared" si="10"/>
        <v>0</v>
      </c>
      <c r="G65" s="7">
        <v>25</v>
      </c>
      <c r="H65" s="5">
        <v>25</v>
      </c>
      <c r="I65" s="5">
        <v>10</v>
      </c>
      <c r="J65" s="13">
        <f t="shared" si="11"/>
        <v>60</v>
      </c>
      <c r="K65" s="7">
        <v>0</v>
      </c>
      <c r="L65" s="7">
        <v>0</v>
      </c>
      <c r="M65" s="13">
        <f t="shared" si="12"/>
        <v>0</v>
      </c>
      <c r="N65" s="6">
        <f t="shared" si="13"/>
        <v>60</v>
      </c>
      <c r="O65" s="5" t="str">
        <f t="shared" si="14"/>
        <v>Orange</v>
      </c>
      <c r="P65" s="7" t="s">
        <v>610</v>
      </c>
      <c r="Q65" s="8"/>
    </row>
    <row r="66" spans="1:17" ht="42" x14ac:dyDescent="0.3">
      <c r="A66" s="3">
        <v>24.4</v>
      </c>
      <c r="B66" s="4" t="s">
        <v>452</v>
      </c>
      <c r="C66" s="5">
        <v>0</v>
      </c>
      <c r="D66" s="5">
        <v>0</v>
      </c>
      <c r="E66" s="5">
        <v>0</v>
      </c>
      <c r="F66" s="14">
        <f t="shared" si="10"/>
        <v>0</v>
      </c>
      <c r="G66" s="7">
        <v>0</v>
      </c>
      <c r="H66" s="5">
        <v>25</v>
      </c>
      <c r="I66" s="5">
        <v>0</v>
      </c>
      <c r="J66" s="13">
        <f t="shared" si="11"/>
        <v>25</v>
      </c>
      <c r="K66" s="7">
        <v>0</v>
      </c>
      <c r="L66" s="7">
        <v>0</v>
      </c>
      <c r="M66" s="13">
        <f t="shared" si="12"/>
        <v>0</v>
      </c>
      <c r="N66" s="6">
        <f t="shared" si="13"/>
        <v>25</v>
      </c>
      <c r="O66" s="5" t="str">
        <f t="shared" si="14"/>
        <v>Green</v>
      </c>
      <c r="P66" s="7" t="s">
        <v>610</v>
      </c>
      <c r="Q66" s="8"/>
    </row>
    <row r="67" spans="1:17" ht="28" x14ac:dyDescent="0.3">
      <c r="A67" s="3">
        <v>25</v>
      </c>
      <c r="B67" s="4" t="s">
        <v>140</v>
      </c>
      <c r="C67" s="2">
        <v>20</v>
      </c>
      <c r="D67" s="2">
        <v>25</v>
      </c>
      <c r="E67" s="2">
        <v>30</v>
      </c>
      <c r="F67" s="13">
        <f t="shared" si="10"/>
        <v>75</v>
      </c>
      <c r="G67" s="2">
        <v>0</v>
      </c>
      <c r="H67" s="5">
        <v>25</v>
      </c>
      <c r="I67" s="5">
        <v>0</v>
      </c>
      <c r="J67" s="13">
        <f t="shared" si="11"/>
        <v>25</v>
      </c>
      <c r="K67" s="2">
        <v>0</v>
      </c>
      <c r="L67" s="2">
        <v>0</v>
      </c>
      <c r="M67" s="13">
        <f t="shared" si="12"/>
        <v>0</v>
      </c>
      <c r="N67" s="6">
        <f t="shared" si="13"/>
        <v>78.125</v>
      </c>
      <c r="O67" s="5" t="str">
        <f t="shared" si="14"/>
        <v>Orange</v>
      </c>
      <c r="P67" s="7" t="s">
        <v>610</v>
      </c>
      <c r="Q67" s="8"/>
    </row>
    <row r="68" spans="1:17" ht="42" x14ac:dyDescent="0.3">
      <c r="A68" s="3">
        <v>26</v>
      </c>
      <c r="B68" s="4" t="s">
        <v>158</v>
      </c>
      <c r="C68" s="7">
        <v>25</v>
      </c>
      <c r="D68" s="5">
        <v>25</v>
      </c>
      <c r="E68" s="5">
        <v>15</v>
      </c>
      <c r="F68" s="13">
        <f t="shared" si="10"/>
        <v>65</v>
      </c>
      <c r="G68" s="7">
        <v>0</v>
      </c>
      <c r="H68" s="5">
        <v>20</v>
      </c>
      <c r="I68" s="5">
        <v>0</v>
      </c>
      <c r="J68" s="13">
        <f t="shared" si="11"/>
        <v>20</v>
      </c>
      <c r="K68" s="2">
        <v>0</v>
      </c>
      <c r="L68" s="7">
        <v>0</v>
      </c>
      <c r="M68" s="13">
        <f t="shared" si="12"/>
        <v>0</v>
      </c>
      <c r="N68" s="6">
        <f t="shared" si="13"/>
        <v>68.5</v>
      </c>
      <c r="O68" s="5" t="str">
        <f t="shared" si="14"/>
        <v>Orange</v>
      </c>
      <c r="P68" s="7" t="s">
        <v>610</v>
      </c>
      <c r="Q68" s="8"/>
    </row>
    <row r="69" spans="1:17" ht="28" x14ac:dyDescent="0.3">
      <c r="A69" s="3">
        <v>27</v>
      </c>
      <c r="B69" s="4" t="s">
        <v>223</v>
      </c>
      <c r="C69" s="5">
        <v>10</v>
      </c>
      <c r="D69" s="5">
        <v>0</v>
      </c>
      <c r="E69" s="5">
        <v>15</v>
      </c>
      <c r="F69" s="14">
        <f t="shared" si="10"/>
        <v>25</v>
      </c>
      <c r="G69" s="7">
        <v>0</v>
      </c>
      <c r="H69" s="5">
        <v>20</v>
      </c>
      <c r="I69" s="5">
        <v>0</v>
      </c>
      <c r="J69" s="13">
        <f t="shared" si="11"/>
        <v>20</v>
      </c>
      <c r="K69" s="7">
        <v>0</v>
      </c>
      <c r="L69" s="7">
        <v>0</v>
      </c>
      <c r="M69" s="13">
        <f t="shared" si="12"/>
        <v>0</v>
      </c>
      <c r="N69" s="6">
        <f t="shared" si="13"/>
        <v>32.5</v>
      </c>
      <c r="O69" s="5" t="str">
        <f t="shared" si="14"/>
        <v>Green</v>
      </c>
      <c r="P69" s="7" t="s">
        <v>610</v>
      </c>
      <c r="Q69" s="8"/>
    </row>
    <row r="70" spans="1:17" ht="28" x14ac:dyDescent="0.3">
      <c r="A70" s="3">
        <v>28</v>
      </c>
      <c r="B70" s="4" t="s">
        <v>188</v>
      </c>
      <c r="C70" s="7">
        <v>20</v>
      </c>
      <c r="D70" s="5">
        <v>0</v>
      </c>
      <c r="E70" s="5">
        <v>15</v>
      </c>
      <c r="F70" s="13">
        <f t="shared" si="10"/>
        <v>35</v>
      </c>
      <c r="G70" s="7">
        <v>25</v>
      </c>
      <c r="H70" s="5">
        <v>20</v>
      </c>
      <c r="I70" s="5">
        <v>15</v>
      </c>
      <c r="J70" s="13">
        <f t="shared" si="11"/>
        <v>60</v>
      </c>
      <c r="K70" s="7">
        <v>0</v>
      </c>
      <c r="L70" s="7">
        <v>0</v>
      </c>
      <c r="M70" s="13">
        <f t="shared" si="12"/>
        <v>0</v>
      </c>
      <c r="N70" s="6">
        <f t="shared" si="13"/>
        <v>67</v>
      </c>
      <c r="O70" s="5" t="str">
        <f t="shared" si="14"/>
        <v>Orange</v>
      </c>
      <c r="P70" s="7" t="s">
        <v>610</v>
      </c>
      <c r="Q70" s="8"/>
    </row>
    <row r="71" spans="1:17" ht="28" x14ac:dyDescent="0.3">
      <c r="A71" s="3">
        <v>29</v>
      </c>
      <c r="B71" s="4" t="s">
        <v>189</v>
      </c>
      <c r="C71" s="7"/>
      <c r="D71" s="5"/>
      <c r="E71" s="5"/>
      <c r="F71" s="14"/>
      <c r="G71" s="7"/>
      <c r="H71" s="5"/>
      <c r="I71" s="5"/>
      <c r="J71" s="14"/>
      <c r="K71" s="7"/>
      <c r="L71" s="7"/>
      <c r="M71" s="14"/>
      <c r="N71" s="6"/>
      <c r="O71" s="5"/>
      <c r="P71" s="7" t="s">
        <v>610</v>
      </c>
      <c r="Q71" s="8"/>
    </row>
    <row r="72" spans="1:17" ht="28" x14ac:dyDescent="0.3">
      <c r="A72" s="3">
        <v>29.1</v>
      </c>
      <c r="B72" s="4" t="s">
        <v>190</v>
      </c>
      <c r="C72" s="2">
        <v>35</v>
      </c>
      <c r="D72" s="5">
        <v>0</v>
      </c>
      <c r="E72" s="5">
        <v>20</v>
      </c>
      <c r="F72" s="13">
        <f t="shared" ref="F72:F77" si="15">C72+D72+E72</f>
        <v>55</v>
      </c>
      <c r="G72" s="2">
        <v>25</v>
      </c>
      <c r="H72" s="5">
        <v>0</v>
      </c>
      <c r="I72" s="5">
        <v>15</v>
      </c>
      <c r="J72" s="13">
        <f t="shared" ref="J72:J77" si="16">G72+H72+I72</f>
        <v>40</v>
      </c>
      <c r="K72" s="2">
        <v>0</v>
      </c>
      <c r="L72" s="2">
        <v>0</v>
      </c>
      <c r="M72" s="13">
        <f t="shared" ref="M72:M77" si="17">K72+L72</f>
        <v>0</v>
      </c>
      <c r="N72" s="6">
        <f t="shared" ref="N72:N77" si="18">(MAX(F72,J72,M72))+((100-MAX(F72,J72,M72))*((MEDIAN(F72,J72,M72)+MIN(F72,J72,M72))/200))</f>
        <v>64</v>
      </c>
      <c r="O72" s="5" t="str">
        <f t="shared" ref="O72:O77" si="19">IF(N72&gt;=80,"Red",IF(AND(N72&gt;=55,N72&lt;80),"Orange",IF(AND(N72&gt;=25,N72&lt;55),"Green",IF(N72&lt;25,"White"))))</f>
        <v>Orange</v>
      </c>
      <c r="P72" s="7" t="s">
        <v>610</v>
      </c>
      <c r="Q72" s="8"/>
    </row>
    <row r="73" spans="1:17" ht="28" x14ac:dyDescent="0.3">
      <c r="A73" s="3">
        <v>29.2</v>
      </c>
      <c r="B73" s="4" t="s">
        <v>191</v>
      </c>
      <c r="C73" s="2">
        <v>20</v>
      </c>
      <c r="D73" s="5">
        <v>0</v>
      </c>
      <c r="E73" s="5">
        <v>15</v>
      </c>
      <c r="F73" s="13">
        <f t="shared" si="15"/>
        <v>35</v>
      </c>
      <c r="G73" s="2">
        <v>25</v>
      </c>
      <c r="H73" s="5">
        <v>0</v>
      </c>
      <c r="I73" s="5">
        <v>15</v>
      </c>
      <c r="J73" s="13">
        <f t="shared" si="16"/>
        <v>40</v>
      </c>
      <c r="K73" s="2">
        <v>0</v>
      </c>
      <c r="L73" s="2">
        <v>0</v>
      </c>
      <c r="M73" s="13">
        <f t="shared" si="17"/>
        <v>0</v>
      </c>
      <c r="N73" s="6">
        <f t="shared" si="18"/>
        <v>50.5</v>
      </c>
      <c r="O73" s="5" t="str">
        <f t="shared" si="19"/>
        <v>Green</v>
      </c>
      <c r="P73" s="7" t="s">
        <v>610</v>
      </c>
      <c r="Q73" s="8"/>
    </row>
    <row r="74" spans="1:17" ht="28" x14ac:dyDescent="0.3">
      <c r="A74" s="3">
        <v>30</v>
      </c>
      <c r="B74" s="4" t="s">
        <v>398</v>
      </c>
      <c r="C74" s="7">
        <v>10</v>
      </c>
      <c r="D74" s="5">
        <v>0</v>
      </c>
      <c r="E74" s="5">
        <v>15</v>
      </c>
      <c r="F74" s="13">
        <f t="shared" si="15"/>
        <v>25</v>
      </c>
      <c r="G74" s="7">
        <v>0</v>
      </c>
      <c r="H74" s="5">
        <v>0</v>
      </c>
      <c r="I74" s="5">
        <v>0</v>
      </c>
      <c r="J74" s="13">
        <f t="shared" si="16"/>
        <v>0</v>
      </c>
      <c r="K74" s="7">
        <v>0</v>
      </c>
      <c r="L74" s="7">
        <v>0</v>
      </c>
      <c r="M74" s="13">
        <f t="shared" si="17"/>
        <v>0</v>
      </c>
      <c r="N74" s="6">
        <f t="shared" si="18"/>
        <v>25</v>
      </c>
      <c r="O74" s="5" t="str">
        <f t="shared" si="19"/>
        <v>Green</v>
      </c>
      <c r="P74" s="7" t="s">
        <v>610</v>
      </c>
      <c r="Q74" s="8"/>
    </row>
    <row r="75" spans="1:17" ht="56" x14ac:dyDescent="0.3">
      <c r="A75" s="3">
        <v>31</v>
      </c>
      <c r="B75" s="4" t="s">
        <v>205</v>
      </c>
      <c r="C75" s="5">
        <v>0</v>
      </c>
      <c r="D75" s="5">
        <v>0</v>
      </c>
      <c r="E75" s="5">
        <v>0</v>
      </c>
      <c r="F75" s="14">
        <f t="shared" si="15"/>
        <v>0</v>
      </c>
      <c r="G75" s="7">
        <v>0</v>
      </c>
      <c r="H75" s="5">
        <v>20</v>
      </c>
      <c r="I75" s="5">
        <v>0</v>
      </c>
      <c r="J75" s="13">
        <f t="shared" si="16"/>
        <v>20</v>
      </c>
      <c r="K75" s="7">
        <v>0</v>
      </c>
      <c r="L75" s="7">
        <v>0</v>
      </c>
      <c r="M75" s="13">
        <f t="shared" si="17"/>
        <v>0</v>
      </c>
      <c r="N75" s="6">
        <f t="shared" si="18"/>
        <v>20</v>
      </c>
      <c r="O75" s="5" t="str">
        <f t="shared" si="19"/>
        <v>White</v>
      </c>
      <c r="P75" s="7" t="s">
        <v>610</v>
      </c>
      <c r="Q75" s="8"/>
    </row>
    <row r="76" spans="1:17" ht="84" x14ac:dyDescent="0.3">
      <c r="A76" s="3">
        <v>32</v>
      </c>
      <c r="B76" s="4" t="s">
        <v>399</v>
      </c>
      <c r="C76" s="5">
        <v>0</v>
      </c>
      <c r="D76" s="5">
        <v>0</v>
      </c>
      <c r="E76" s="5">
        <v>15</v>
      </c>
      <c r="F76" s="14">
        <f t="shared" si="15"/>
        <v>15</v>
      </c>
      <c r="G76" s="7">
        <v>0</v>
      </c>
      <c r="H76" s="5">
        <v>25</v>
      </c>
      <c r="I76" s="5">
        <v>0</v>
      </c>
      <c r="J76" s="13">
        <f t="shared" si="16"/>
        <v>25</v>
      </c>
      <c r="K76" s="7">
        <v>0</v>
      </c>
      <c r="L76" s="7">
        <v>0</v>
      </c>
      <c r="M76" s="13">
        <f t="shared" si="17"/>
        <v>0</v>
      </c>
      <c r="N76" s="6">
        <f t="shared" si="18"/>
        <v>30.625</v>
      </c>
      <c r="O76" s="5" t="str">
        <f t="shared" si="19"/>
        <v>Green</v>
      </c>
      <c r="P76" s="7" t="s">
        <v>610</v>
      </c>
      <c r="Q76" s="8"/>
    </row>
    <row r="77" spans="1:17" ht="56" x14ac:dyDescent="0.3">
      <c r="A77" s="3">
        <v>33</v>
      </c>
      <c r="B77" s="4" t="s">
        <v>400</v>
      </c>
      <c r="C77" s="5">
        <v>0</v>
      </c>
      <c r="D77" s="5">
        <v>0</v>
      </c>
      <c r="E77" s="5">
        <v>0</v>
      </c>
      <c r="F77" s="14">
        <f t="shared" si="15"/>
        <v>0</v>
      </c>
      <c r="G77" s="7">
        <v>0</v>
      </c>
      <c r="H77" s="5">
        <v>25</v>
      </c>
      <c r="I77" s="5">
        <v>0</v>
      </c>
      <c r="J77" s="13">
        <f t="shared" si="16"/>
        <v>25</v>
      </c>
      <c r="K77" s="7">
        <v>0</v>
      </c>
      <c r="L77" s="7">
        <v>0</v>
      </c>
      <c r="M77" s="13">
        <f t="shared" si="17"/>
        <v>0</v>
      </c>
      <c r="N77" s="6">
        <f t="shared" si="18"/>
        <v>25</v>
      </c>
      <c r="O77" s="5" t="str">
        <f t="shared" si="19"/>
        <v>Green</v>
      </c>
      <c r="P77" s="7" t="s">
        <v>610</v>
      </c>
      <c r="Q77" s="8"/>
    </row>
    <row r="78" spans="1:17" ht="28" x14ac:dyDescent="0.3">
      <c r="A78" s="3">
        <v>34</v>
      </c>
      <c r="B78" s="4" t="s">
        <v>209</v>
      </c>
      <c r="C78" s="7"/>
      <c r="D78" s="5"/>
      <c r="E78" s="5"/>
      <c r="F78" s="13"/>
      <c r="G78" s="5"/>
      <c r="H78" s="5"/>
      <c r="I78" s="5"/>
      <c r="J78" s="14"/>
      <c r="K78" s="5"/>
      <c r="L78" s="5"/>
      <c r="M78" s="14"/>
      <c r="N78" s="6"/>
      <c r="O78" s="5"/>
      <c r="P78" s="7" t="s">
        <v>610</v>
      </c>
      <c r="Q78" s="8"/>
    </row>
    <row r="79" spans="1:17" ht="28" x14ac:dyDescent="0.3">
      <c r="A79" s="3">
        <v>34.1</v>
      </c>
      <c r="B79" s="4" t="s">
        <v>210</v>
      </c>
      <c r="C79" s="5">
        <v>20</v>
      </c>
      <c r="D79" s="5">
        <v>15</v>
      </c>
      <c r="E79" s="5">
        <v>15</v>
      </c>
      <c r="F79" s="14">
        <f t="shared" ref="F79:F88" si="20">C79+D79+E79</f>
        <v>50</v>
      </c>
      <c r="G79" s="7">
        <v>0</v>
      </c>
      <c r="H79" s="5">
        <v>0</v>
      </c>
      <c r="I79" s="5">
        <v>0</v>
      </c>
      <c r="J79" s="13">
        <f t="shared" ref="J79:J88" si="21">G79+H79+I79</f>
        <v>0</v>
      </c>
      <c r="K79" s="7">
        <v>0</v>
      </c>
      <c r="L79" s="7">
        <v>0</v>
      </c>
      <c r="M79" s="13">
        <f t="shared" ref="M79:M88" si="22">K79+L79</f>
        <v>0</v>
      </c>
      <c r="N79" s="6">
        <f t="shared" ref="N79:N88" si="23">(MAX(F79,J79,M79))+((100-MAX(F79,J79,M79))*((MEDIAN(F79,J79,M79)+MIN(F79,J79,M79))/200))</f>
        <v>50</v>
      </c>
      <c r="O79" s="5" t="str">
        <f t="shared" ref="O79:O88" si="24">IF(N79&gt;=80,"Red",IF(AND(N79&gt;=55,N79&lt;80),"Orange",IF(AND(N79&gt;=25,N79&lt;55),"Green",IF(N79&lt;25,"White"))))</f>
        <v>Green</v>
      </c>
      <c r="P79" s="7" t="s">
        <v>610</v>
      </c>
      <c r="Q79" s="8"/>
    </row>
    <row r="80" spans="1:17" ht="28" x14ac:dyDescent="0.3">
      <c r="A80" s="3">
        <v>34.200000000000003</v>
      </c>
      <c r="B80" s="4" t="s">
        <v>211</v>
      </c>
      <c r="C80" s="5">
        <v>0</v>
      </c>
      <c r="D80" s="5">
        <v>15</v>
      </c>
      <c r="E80" s="5">
        <v>15</v>
      </c>
      <c r="F80" s="14">
        <f t="shared" si="20"/>
        <v>30</v>
      </c>
      <c r="G80" s="7">
        <v>0</v>
      </c>
      <c r="H80" s="5">
        <v>0</v>
      </c>
      <c r="I80" s="5">
        <v>0</v>
      </c>
      <c r="J80" s="13">
        <f t="shared" si="21"/>
        <v>0</v>
      </c>
      <c r="K80" s="7">
        <v>0</v>
      </c>
      <c r="L80" s="7">
        <v>0</v>
      </c>
      <c r="M80" s="13">
        <f t="shared" si="22"/>
        <v>0</v>
      </c>
      <c r="N80" s="6">
        <f t="shared" si="23"/>
        <v>30</v>
      </c>
      <c r="O80" s="5" t="str">
        <f t="shared" si="24"/>
        <v>Green</v>
      </c>
      <c r="P80" s="7" t="s">
        <v>610</v>
      </c>
      <c r="Q80" s="8"/>
    </row>
    <row r="81" spans="1:17" ht="28" x14ac:dyDescent="0.3">
      <c r="A81" s="3">
        <v>34.299999999999997</v>
      </c>
      <c r="B81" s="4" t="s">
        <v>212</v>
      </c>
      <c r="C81" s="5">
        <v>0</v>
      </c>
      <c r="D81" s="5">
        <v>20</v>
      </c>
      <c r="E81" s="5">
        <v>15</v>
      </c>
      <c r="F81" s="14">
        <f t="shared" si="20"/>
        <v>35</v>
      </c>
      <c r="G81" s="7">
        <v>0</v>
      </c>
      <c r="H81" s="5">
        <v>0</v>
      </c>
      <c r="I81" s="5">
        <v>0</v>
      </c>
      <c r="J81" s="13">
        <f t="shared" si="21"/>
        <v>0</v>
      </c>
      <c r="K81" s="7">
        <v>0</v>
      </c>
      <c r="L81" s="7">
        <v>0</v>
      </c>
      <c r="M81" s="13">
        <f t="shared" si="22"/>
        <v>0</v>
      </c>
      <c r="N81" s="6">
        <f t="shared" si="23"/>
        <v>35</v>
      </c>
      <c r="O81" s="5" t="str">
        <f t="shared" si="24"/>
        <v>Green</v>
      </c>
      <c r="P81" s="7" t="s">
        <v>610</v>
      </c>
      <c r="Q81" s="8"/>
    </row>
    <row r="82" spans="1:17" ht="28" x14ac:dyDescent="0.3">
      <c r="A82" s="3">
        <v>35</v>
      </c>
      <c r="B82" s="4" t="s">
        <v>214</v>
      </c>
      <c r="C82" s="5">
        <v>0</v>
      </c>
      <c r="D82" s="5">
        <v>0</v>
      </c>
      <c r="E82" s="5">
        <v>0</v>
      </c>
      <c r="F82" s="14">
        <f t="shared" si="20"/>
        <v>0</v>
      </c>
      <c r="G82" s="7">
        <v>0</v>
      </c>
      <c r="H82" s="5">
        <v>25</v>
      </c>
      <c r="I82" s="5">
        <v>0</v>
      </c>
      <c r="J82" s="13">
        <f t="shared" si="21"/>
        <v>25</v>
      </c>
      <c r="K82" s="7">
        <v>0</v>
      </c>
      <c r="L82" s="7">
        <v>0</v>
      </c>
      <c r="M82" s="13">
        <f t="shared" si="22"/>
        <v>0</v>
      </c>
      <c r="N82" s="6">
        <f t="shared" si="23"/>
        <v>25</v>
      </c>
      <c r="O82" s="5" t="str">
        <f t="shared" si="24"/>
        <v>Green</v>
      </c>
      <c r="P82" s="7" t="s">
        <v>610</v>
      </c>
      <c r="Q82" s="8"/>
    </row>
    <row r="83" spans="1:17" ht="28" x14ac:dyDescent="0.3">
      <c r="A83" s="3">
        <v>36</v>
      </c>
      <c r="B83" s="4" t="s">
        <v>227</v>
      </c>
      <c r="C83" s="5">
        <v>0</v>
      </c>
      <c r="D83" s="5">
        <v>0</v>
      </c>
      <c r="E83" s="5">
        <v>0</v>
      </c>
      <c r="F83" s="14">
        <f t="shared" si="20"/>
        <v>0</v>
      </c>
      <c r="G83" s="7">
        <v>0</v>
      </c>
      <c r="H83" s="5">
        <v>30</v>
      </c>
      <c r="I83" s="5">
        <v>0</v>
      </c>
      <c r="J83" s="13">
        <f t="shared" si="21"/>
        <v>30</v>
      </c>
      <c r="K83" s="7">
        <v>0</v>
      </c>
      <c r="L83" s="7">
        <v>0</v>
      </c>
      <c r="M83" s="13">
        <f t="shared" si="22"/>
        <v>0</v>
      </c>
      <c r="N83" s="6">
        <f t="shared" si="23"/>
        <v>30</v>
      </c>
      <c r="O83" s="5" t="str">
        <f t="shared" si="24"/>
        <v>Green</v>
      </c>
      <c r="P83" s="7" t="s">
        <v>610</v>
      </c>
      <c r="Q83" s="8"/>
    </row>
    <row r="84" spans="1:17" ht="28" x14ac:dyDescent="0.3">
      <c r="A84" s="3">
        <v>37</v>
      </c>
      <c r="B84" s="4" t="s">
        <v>233</v>
      </c>
      <c r="C84" s="7">
        <v>0</v>
      </c>
      <c r="D84" s="5">
        <v>0</v>
      </c>
      <c r="E84" s="5">
        <v>0</v>
      </c>
      <c r="F84" s="13">
        <f t="shared" si="20"/>
        <v>0</v>
      </c>
      <c r="G84" s="5">
        <v>0</v>
      </c>
      <c r="H84" s="5">
        <v>0</v>
      </c>
      <c r="I84" s="5">
        <v>0</v>
      </c>
      <c r="J84" s="13">
        <f t="shared" si="21"/>
        <v>0</v>
      </c>
      <c r="K84" s="5">
        <v>20</v>
      </c>
      <c r="L84" s="5">
        <v>10</v>
      </c>
      <c r="M84" s="14">
        <f t="shared" si="22"/>
        <v>30</v>
      </c>
      <c r="N84" s="6">
        <f t="shared" si="23"/>
        <v>30</v>
      </c>
      <c r="O84" s="5" t="str">
        <f t="shared" si="24"/>
        <v>Green</v>
      </c>
      <c r="P84" s="7" t="s">
        <v>610</v>
      </c>
      <c r="Q84" s="8"/>
    </row>
    <row r="85" spans="1:17" ht="28" x14ac:dyDescent="0.3">
      <c r="A85" s="3">
        <v>38</v>
      </c>
      <c r="B85" s="4" t="s">
        <v>438</v>
      </c>
      <c r="C85" s="5">
        <v>0</v>
      </c>
      <c r="D85" s="5">
        <v>0</v>
      </c>
      <c r="E85" s="5">
        <v>0</v>
      </c>
      <c r="F85" s="14">
        <f t="shared" si="20"/>
        <v>0</v>
      </c>
      <c r="G85" s="5">
        <v>0</v>
      </c>
      <c r="H85" s="5">
        <v>0</v>
      </c>
      <c r="I85" s="5">
        <v>0</v>
      </c>
      <c r="J85" s="14">
        <f t="shared" si="21"/>
        <v>0</v>
      </c>
      <c r="K85" s="5">
        <v>0</v>
      </c>
      <c r="L85" s="5">
        <v>0</v>
      </c>
      <c r="M85" s="14">
        <f t="shared" si="22"/>
        <v>0</v>
      </c>
      <c r="N85" s="6">
        <f t="shared" si="23"/>
        <v>0</v>
      </c>
      <c r="O85" s="5" t="str">
        <f t="shared" si="24"/>
        <v>White</v>
      </c>
      <c r="P85" s="7" t="s">
        <v>610</v>
      </c>
      <c r="Q85" s="8"/>
    </row>
    <row r="86" spans="1:17" ht="42" x14ac:dyDescent="0.3">
      <c r="A86" s="3">
        <v>39</v>
      </c>
      <c r="B86" s="4" t="s">
        <v>249</v>
      </c>
      <c r="C86" s="5">
        <v>0</v>
      </c>
      <c r="D86" s="5">
        <v>0</v>
      </c>
      <c r="E86" s="5">
        <v>0</v>
      </c>
      <c r="F86" s="14">
        <f t="shared" si="20"/>
        <v>0</v>
      </c>
      <c r="G86" s="5">
        <v>0</v>
      </c>
      <c r="H86" s="5">
        <v>0</v>
      </c>
      <c r="I86" s="5">
        <v>0</v>
      </c>
      <c r="J86" s="14">
        <f t="shared" si="21"/>
        <v>0</v>
      </c>
      <c r="K86" s="5">
        <v>0</v>
      </c>
      <c r="L86" s="5">
        <v>0</v>
      </c>
      <c r="M86" s="14">
        <f t="shared" si="22"/>
        <v>0</v>
      </c>
      <c r="N86" s="6">
        <f t="shared" si="23"/>
        <v>0</v>
      </c>
      <c r="O86" s="5" t="str">
        <f t="shared" si="24"/>
        <v>White</v>
      </c>
      <c r="P86" s="7" t="s">
        <v>610</v>
      </c>
      <c r="Q86" s="8"/>
    </row>
    <row r="87" spans="1:17" ht="70" x14ac:dyDescent="0.3">
      <c r="A87" s="3">
        <v>40</v>
      </c>
      <c r="B87" s="4" t="s">
        <v>469</v>
      </c>
      <c r="C87" s="5">
        <v>0</v>
      </c>
      <c r="D87" s="5">
        <v>0</v>
      </c>
      <c r="E87" s="5">
        <v>0</v>
      </c>
      <c r="F87" s="14">
        <f t="shared" si="20"/>
        <v>0</v>
      </c>
      <c r="G87" s="5">
        <v>0</v>
      </c>
      <c r="H87" s="5">
        <v>0</v>
      </c>
      <c r="I87" s="5">
        <v>0</v>
      </c>
      <c r="J87" s="14">
        <f t="shared" si="21"/>
        <v>0</v>
      </c>
      <c r="K87" s="5">
        <v>10</v>
      </c>
      <c r="L87" s="5">
        <v>10</v>
      </c>
      <c r="M87" s="14">
        <f t="shared" si="22"/>
        <v>20</v>
      </c>
      <c r="N87" s="6">
        <f t="shared" si="23"/>
        <v>20</v>
      </c>
      <c r="O87" s="5" t="str">
        <f t="shared" si="24"/>
        <v>White</v>
      </c>
      <c r="P87" s="7" t="s">
        <v>610</v>
      </c>
      <c r="Q87" s="8" t="s">
        <v>568</v>
      </c>
    </row>
    <row r="88" spans="1:17" ht="28" x14ac:dyDescent="0.3">
      <c r="A88" s="3">
        <v>41</v>
      </c>
      <c r="B88" s="4" t="s">
        <v>272</v>
      </c>
      <c r="C88" s="5">
        <v>0</v>
      </c>
      <c r="D88" s="5">
        <v>0</v>
      </c>
      <c r="E88" s="5">
        <v>0</v>
      </c>
      <c r="F88" s="14">
        <f t="shared" si="20"/>
        <v>0</v>
      </c>
      <c r="G88" s="5">
        <v>0</v>
      </c>
      <c r="H88" s="5">
        <v>0</v>
      </c>
      <c r="I88" s="5">
        <v>0</v>
      </c>
      <c r="J88" s="14">
        <f t="shared" si="21"/>
        <v>0</v>
      </c>
      <c r="K88" s="5">
        <v>0</v>
      </c>
      <c r="L88" s="5">
        <v>0</v>
      </c>
      <c r="M88" s="14">
        <f t="shared" si="22"/>
        <v>0</v>
      </c>
      <c r="N88" s="6">
        <f t="shared" si="23"/>
        <v>0</v>
      </c>
      <c r="O88" s="5" t="str">
        <f t="shared" si="24"/>
        <v>White</v>
      </c>
      <c r="P88" s="7" t="s">
        <v>610</v>
      </c>
      <c r="Q88" s="8"/>
    </row>
    <row r="89" spans="1:17" ht="28" x14ac:dyDescent="0.3">
      <c r="A89" s="3">
        <v>42</v>
      </c>
      <c r="B89" s="4" t="s">
        <v>44</v>
      </c>
      <c r="C89" s="7"/>
      <c r="D89" s="5"/>
      <c r="E89" s="5"/>
      <c r="F89" s="14"/>
      <c r="G89" s="7"/>
      <c r="H89" s="7"/>
      <c r="I89" s="7"/>
      <c r="J89" s="14"/>
      <c r="K89" s="7"/>
      <c r="L89" s="7"/>
      <c r="M89" s="14"/>
      <c r="N89" s="6"/>
      <c r="O89" s="5"/>
      <c r="P89" s="7" t="s">
        <v>610</v>
      </c>
      <c r="Q89" s="8"/>
    </row>
    <row r="90" spans="1:17" ht="28" x14ac:dyDescent="0.3">
      <c r="A90" s="3">
        <v>42.1</v>
      </c>
      <c r="B90" s="4" t="s">
        <v>45</v>
      </c>
      <c r="C90" s="7">
        <v>35</v>
      </c>
      <c r="D90" s="5">
        <v>30</v>
      </c>
      <c r="E90" s="5">
        <v>25</v>
      </c>
      <c r="F90" s="13">
        <f>C90+D90+E90</f>
        <v>90</v>
      </c>
      <c r="G90" s="7">
        <v>30</v>
      </c>
      <c r="H90" s="7">
        <v>20</v>
      </c>
      <c r="I90" s="7">
        <v>25</v>
      </c>
      <c r="J90" s="13">
        <f>G90+H90+I90</f>
        <v>75</v>
      </c>
      <c r="K90" s="5">
        <v>30</v>
      </c>
      <c r="L90" s="7">
        <v>20</v>
      </c>
      <c r="M90" s="13">
        <f>K90+L90</f>
        <v>50</v>
      </c>
      <c r="N90" s="6">
        <f>(MAX(F90,J90,M90))+((100-MAX(F90,J90,M90))*((MEDIAN(F90,J90,M90)+MIN(F90,J90,M90))/200))</f>
        <v>96.25</v>
      </c>
      <c r="O90" s="5" t="str">
        <f>IF(N90&gt;=80,"Red",IF(AND(N90&gt;=55,N90&lt;80),"Orange",IF(AND(N90&gt;=25,N90&lt;55),"Green",IF(N90&lt;25,"White"))))</f>
        <v>Red</v>
      </c>
      <c r="P90" s="7" t="s">
        <v>610</v>
      </c>
      <c r="Q90" s="8"/>
    </row>
    <row r="91" spans="1:17" ht="28" x14ac:dyDescent="0.3">
      <c r="A91" s="3">
        <v>42.2</v>
      </c>
      <c r="B91" s="4" t="s">
        <v>46</v>
      </c>
      <c r="C91" s="7">
        <v>30</v>
      </c>
      <c r="D91" s="5">
        <v>30</v>
      </c>
      <c r="E91" s="5">
        <v>20</v>
      </c>
      <c r="F91" s="13">
        <f>C91+D91+E91</f>
        <v>80</v>
      </c>
      <c r="G91" s="7">
        <v>25</v>
      </c>
      <c r="H91" s="7">
        <v>20</v>
      </c>
      <c r="I91" s="7">
        <v>25</v>
      </c>
      <c r="J91" s="13">
        <f>G91+H91+I91</f>
        <v>70</v>
      </c>
      <c r="K91" s="7">
        <v>20</v>
      </c>
      <c r="L91" s="7">
        <v>10</v>
      </c>
      <c r="M91" s="13">
        <f>K91+L91</f>
        <v>30</v>
      </c>
      <c r="N91" s="6">
        <f>(MAX(F91,J91,M91))+((100-MAX(F91,J91,M91))*((MEDIAN(F91,J91,M91)+MIN(F91,J91,M91))/200))</f>
        <v>90</v>
      </c>
      <c r="O91" s="5" t="str">
        <f>IF(N91&gt;=80,"Red",IF(AND(N91&gt;=55,N91&lt;80),"Orange",IF(AND(N91&gt;=25,N91&lt;55),"Green",IF(N91&lt;25,"White"))))</f>
        <v>Red</v>
      </c>
      <c r="P91" s="7" t="s">
        <v>610</v>
      </c>
      <c r="Q91" s="8"/>
    </row>
    <row r="92" spans="1:17" ht="28" x14ac:dyDescent="0.3">
      <c r="A92" s="3">
        <v>42.3</v>
      </c>
      <c r="B92" s="4" t="s">
        <v>47</v>
      </c>
      <c r="C92" s="7">
        <v>30</v>
      </c>
      <c r="D92" s="5">
        <v>20</v>
      </c>
      <c r="E92" s="5">
        <v>20</v>
      </c>
      <c r="F92" s="13">
        <f>C92+D92+E92</f>
        <v>70</v>
      </c>
      <c r="G92" s="7">
        <v>25</v>
      </c>
      <c r="H92" s="7">
        <v>0</v>
      </c>
      <c r="I92" s="7">
        <v>25</v>
      </c>
      <c r="J92" s="13">
        <f>G92+H92+I92</f>
        <v>50</v>
      </c>
      <c r="K92" s="7">
        <v>0</v>
      </c>
      <c r="L92" s="7">
        <v>0</v>
      </c>
      <c r="M92" s="13">
        <f>K92+L92</f>
        <v>0</v>
      </c>
      <c r="N92" s="6">
        <f>(MAX(F92,J92,M92))+((100-MAX(F92,J92,M92))*((MEDIAN(F92,J92,M92)+MIN(F92,J92,M92))/200))</f>
        <v>77.5</v>
      </c>
      <c r="O92" s="5" t="str">
        <f>IF(N92&gt;=80,"Red",IF(AND(N92&gt;=55,N92&lt;80),"Orange",IF(AND(N92&gt;=25,N92&lt;55),"Green",IF(N92&lt;25,"White"))))</f>
        <v>Orange</v>
      </c>
      <c r="P92" s="7" t="s">
        <v>610</v>
      </c>
      <c r="Q92" s="8"/>
    </row>
    <row r="93" spans="1:17" ht="28" x14ac:dyDescent="0.3">
      <c r="A93" s="3">
        <v>43</v>
      </c>
      <c r="B93" s="4" t="s">
        <v>124</v>
      </c>
      <c r="C93" s="7"/>
      <c r="D93" s="5"/>
      <c r="E93" s="5"/>
      <c r="F93" s="14"/>
      <c r="G93" s="7"/>
      <c r="H93" s="5"/>
      <c r="I93" s="5"/>
      <c r="J93" s="14"/>
      <c r="K93" s="7"/>
      <c r="L93" s="7"/>
      <c r="M93" s="14"/>
      <c r="N93" s="6"/>
      <c r="O93" s="5"/>
      <c r="P93" s="7" t="s">
        <v>610</v>
      </c>
      <c r="Q93" s="8"/>
    </row>
    <row r="94" spans="1:17" ht="28" x14ac:dyDescent="0.3">
      <c r="A94" s="3">
        <v>43.1</v>
      </c>
      <c r="B94" s="4" t="s">
        <v>342</v>
      </c>
      <c r="C94" s="7">
        <v>20</v>
      </c>
      <c r="D94" s="5">
        <v>20</v>
      </c>
      <c r="E94" s="5">
        <v>30</v>
      </c>
      <c r="F94" s="13">
        <f>C94+D94+E94</f>
        <v>70</v>
      </c>
      <c r="G94" s="7">
        <v>25</v>
      </c>
      <c r="H94" s="5">
        <v>0</v>
      </c>
      <c r="I94" s="5">
        <v>25</v>
      </c>
      <c r="J94" s="13">
        <f>G94+H94+I94</f>
        <v>50</v>
      </c>
      <c r="K94" s="7">
        <v>25</v>
      </c>
      <c r="L94" s="7">
        <v>10</v>
      </c>
      <c r="M94" s="13">
        <f>K94+L94</f>
        <v>35</v>
      </c>
      <c r="N94" s="6">
        <f>(MAX(F94,J94,M94))+((100-MAX(F94,J94,M94))*((MEDIAN(F94,J94,M94)+MIN(F94,J94,M94))/200))</f>
        <v>82.75</v>
      </c>
      <c r="O94" s="5" t="str">
        <f>IF(N94&gt;=80,"Red",IF(AND(N94&gt;=55,N94&lt;80),"Orange",IF(AND(N94&gt;=25,N94&lt;55),"Green",IF(N94&lt;25,"White"))))</f>
        <v>Red</v>
      </c>
      <c r="P94" s="7" t="s">
        <v>610</v>
      </c>
      <c r="Q94" s="8"/>
    </row>
    <row r="95" spans="1:17" ht="28" x14ac:dyDescent="0.3">
      <c r="A95" s="3">
        <v>43.2</v>
      </c>
      <c r="B95" s="4" t="s">
        <v>343</v>
      </c>
      <c r="C95" s="7">
        <v>20</v>
      </c>
      <c r="D95" s="5">
        <v>20</v>
      </c>
      <c r="E95" s="5">
        <v>25</v>
      </c>
      <c r="F95" s="13">
        <f>C95+D95+E95</f>
        <v>65</v>
      </c>
      <c r="G95" s="7">
        <v>25</v>
      </c>
      <c r="H95" s="5">
        <v>0</v>
      </c>
      <c r="I95" s="5">
        <v>25</v>
      </c>
      <c r="J95" s="13">
        <f>G95+H95+I95</f>
        <v>50</v>
      </c>
      <c r="K95" s="7">
        <v>25</v>
      </c>
      <c r="L95" s="7">
        <v>10</v>
      </c>
      <c r="M95" s="13">
        <f>K95+L95</f>
        <v>35</v>
      </c>
      <c r="N95" s="6">
        <f>(MAX(F95,J95,M95))+((100-MAX(F95,J95,M95))*((MEDIAN(F95,J95,M95)+MIN(F95,J95,M95))/200))</f>
        <v>79.875</v>
      </c>
      <c r="O95" s="5" t="str">
        <f>IF(N95&gt;=80,"Red",IF(AND(N95&gt;=55,N95&lt;80),"Orange",IF(AND(N95&gt;=25,N95&lt;55),"Green",IF(N95&lt;25,"White"))))</f>
        <v>Orange</v>
      </c>
      <c r="P95" s="7" t="s">
        <v>610</v>
      </c>
      <c r="Q95" s="8"/>
    </row>
    <row r="96" spans="1:17" ht="28" x14ac:dyDescent="0.3">
      <c r="A96" s="3">
        <v>43.3</v>
      </c>
      <c r="B96" s="4" t="s">
        <v>125</v>
      </c>
      <c r="C96" s="5">
        <v>0</v>
      </c>
      <c r="D96" s="5">
        <v>0</v>
      </c>
      <c r="E96" s="5">
        <v>0</v>
      </c>
      <c r="F96" s="14">
        <f>C96+D96+E96</f>
        <v>0</v>
      </c>
      <c r="G96" s="7">
        <v>25</v>
      </c>
      <c r="H96" s="5">
        <v>0</v>
      </c>
      <c r="I96" s="5">
        <v>25</v>
      </c>
      <c r="J96" s="13">
        <f>G96+H96+I96</f>
        <v>50</v>
      </c>
      <c r="K96" s="7">
        <v>0</v>
      </c>
      <c r="L96" s="7">
        <v>0</v>
      </c>
      <c r="M96" s="13">
        <f>K96+L96</f>
        <v>0</v>
      </c>
      <c r="N96" s="6">
        <f>(MAX(F96,J96,M96))+((100-MAX(F96,J96,M96))*((MEDIAN(F96,J96,M96)+MIN(F96,J96,M96))/200))</f>
        <v>50</v>
      </c>
      <c r="O96" s="5" t="str">
        <f>IF(N96&gt;=80,"Red",IF(AND(N96&gt;=55,N96&lt;80),"Orange",IF(AND(N96&gt;=25,N96&lt;55),"Green",IF(N96&lt;25,"White"))))</f>
        <v>Green</v>
      </c>
      <c r="P96" s="7" t="s">
        <v>610</v>
      </c>
      <c r="Q96" s="8"/>
    </row>
    <row r="97" spans="1:17" ht="28" x14ac:dyDescent="0.3">
      <c r="A97" s="3">
        <v>43.4</v>
      </c>
      <c r="B97" s="4" t="s">
        <v>406</v>
      </c>
      <c r="C97" s="7">
        <v>0</v>
      </c>
      <c r="D97" s="5">
        <v>0</v>
      </c>
      <c r="E97" s="5">
        <v>0</v>
      </c>
      <c r="F97" s="13">
        <f>C97+D97+E97</f>
        <v>0</v>
      </c>
      <c r="G97" s="5">
        <v>0</v>
      </c>
      <c r="H97" s="5">
        <v>0</v>
      </c>
      <c r="I97" s="5">
        <v>0</v>
      </c>
      <c r="J97" s="14">
        <f>G97+H97+I97</f>
        <v>0</v>
      </c>
      <c r="K97" s="5">
        <v>0</v>
      </c>
      <c r="L97" s="5">
        <v>0</v>
      </c>
      <c r="M97" s="14">
        <f>K97+L97</f>
        <v>0</v>
      </c>
      <c r="N97" s="6">
        <f>(MAX(F97,J97,M97))+((100-MAX(F97,J97,M97))*((MEDIAN(F97,J97,M97)+MIN(F97,J97,M97))/200))</f>
        <v>0</v>
      </c>
      <c r="O97" s="5" t="str">
        <f>IF(N97&gt;=80,"Red",IF(AND(N97&gt;=55,N97&lt;80),"Orange",IF(AND(N97&gt;=25,N97&lt;55),"Green",IF(N97&lt;25,"White"))))</f>
        <v>White</v>
      </c>
      <c r="P97" s="7" t="s">
        <v>610</v>
      </c>
      <c r="Q97" s="8"/>
    </row>
    <row r="98" spans="1:17" ht="28" x14ac:dyDescent="0.3">
      <c r="A98" s="3">
        <v>44</v>
      </c>
      <c r="B98" s="4" t="s">
        <v>143</v>
      </c>
      <c r="C98" s="7"/>
      <c r="D98" s="5"/>
      <c r="E98" s="5"/>
      <c r="F98" s="14"/>
      <c r="G98" s="5"/>
      <c r="H98" s="5"/>
      <c r="I98" s="5"/>
      <c r="J98" s="14"/>
      <c r="K98" s="5"/>
      <c r="L98" s="5"/>
      <c r="M98" s="14"/>
      <c r="N98" s="6"/>
      <c r="O98" s="5"/>
      <c r="P98" s="7" t="s">
        <v>610</v>
      </c>
      <c r="Q98" s="8"/>
    </row>
    <row r="99" spans="1:17" ht="28" x14ac:dyDescent="0.3">
      <c r="A99" s="3">
        <v>44.1</v>
      </c>
      <c r="B99" s="4" t="s">
        <v>348</v>
      </c>
      <c r="C99" s="2">
        <v>35</v>
      </c>
      <c r="D99" s="5">
        <v>25</v>
      </c>
      <c r="E99" s="5">
        <v>35</v>
      </c>
      <c r="F99" s="13">
        <f t="shared" ref="F99:F112" si="25">C99+D99+E99</f>
        <v>95</v>
      </c>
      <c r="G99" s="5">
        <v>25</v>
      </c>
      <c r="H99" s="5">
        <v>25</v>
      </c>
      <c r="I99" s="5">
        <v>35</v>
      </c>
      <c r="J99" s="14">
        <f t="shared" ref="J99:J112" si="26">G99+H99+I99</f>
        <v>85</v>
      </c>
      <c r="K99" s="5">
        <v>0</v>
      </c>
      <c r="L99" s="5">
        <v>0</v>
      </c>
      <c r="M99" s="14">
        <f t="shared" ref="M99:M112" si="27">K99+L99</f>
        <v>0</v>
      </c>
      <c r="N99" s="6">
        <f t="shared" ref="N99:N112" si="28">(MAX(F99,J99,M99))+((100-MAX(F99,J99,M99))*((MEDIAN(F99,J99,M99)+MIN(F99,J99,M99))/200))</f>
        <v>97.125</v>
      </c>
      <c r="O99" s="5" t="str">
        <f t="shared" ref="O99:O112" si="29">IF(N99&gt;=80,"Red",IF(AND(N99&gt;=55,N99&lt;80),"Orange",IF(AND(N99&gt;=25,N99&lt;55),"Green",IF(N99&lt;25,"White"))))</f>
        <v>Red</v>
      </c>
      <c r="P99" s="7" t="s">
        <v>610</v>
      </c>
      <c r="Q99" s="8"/>
    </row>
    <row r="100" spans="1:17" ht="28" x14ac:dyDescent="0.3">
      <c r="A100" s="3">
        <v>44.2</v>
      </c>
      <c r="B100" s="4" t="s">
        <v>144</v>
      </c>
      <c r="C100" s="7">
        <v>35</v>
      </c>
      <c r="D100" s="5">
        <v>25</v>
      </c>
      <c r="E100" s="5">
        <v>30</v>
      </c>
      <c r="F100" s="13">
        <f t="shared" si="25"/>
        <v>90</v>
      </c>
      <c r="G100" s="5">
        <v>25</v>
      </c>
      <c r="H100" s="5">
        <v>25</v>
      </c>
      <c r="I100" s="5">
        <v>25</v>
      </c>
      <c r="J100" s="14">
        <f t="shared" si="26"/>
        <v>75</v>
      </c>
      <c r="K100" s="5">
        <v>0</v>
      </c>
      <c r="L100" s="5">
        <v>0</v>
      </c>
      <c r="M100" s="14">
        <f t="shared" si="27"/>
        <v>0</v>
      </c>
      <c r="N100" s="6">
        <f t="shared" si="28"/>
        <v>93.75</v>
      </c>
      <c r="O100" s="5" t="str">
        <f t="shared" si="29"/>
        <v>Red</v>
      </c>
      <c r="P100" s="7" t="s">
        <v>610</v>
      </c>
      <c r="Q100" s="8"/>
    </row>
    <row r="101" spans="1:17" ht="42" x14ac:dyDescent="0.3">
      <c r="A101" s="3">
        <v>44.3</v>
      </c>
      <c r="B101" s="4" t="s">
        <v>360</v>
      </c>
      <c r="C101" s="7">
        <v>25</v>
      </c>
      <c r="D101" s="5">
        <v>25</v>
      </c>
      <c r="E101" s="5">
        <v>20</v>
      </c>
      <c r="F101" s="13">
        <f t="shared" si="25"/>
        <v>70</v>
      </c>
      <c r="G101" s="5">
        <v>25</v>
      </c>
      <c r="H101" s="5">
        <v>25</v>
      </c>
      <c r="I101" s="5">
        <v>25</v>
      </c>
      <c r="J101" s="14">
        <f t="shared" si="26"/>
        <v>75</v>
      </c>
      <c r="K101" s="5">
        <v>0</v>
      </c>
      <c r="L101" s="5">
        <v>0</v>
      </c>
      <c r="M101" s="14">
        <f t="shared" si="27"/>
        <v>0</v>
      </c>
      <c r="N101" s="6">
        <f t="shared" si="28"/>
        <v>83.75</v>
      </c>
      <c r="O101" s="5" t="str">
        <f t="shared" si="29"/>
        <v>Red</v>
      </c>
      <c r="P101" s="7" t="s">
        <v>610</v>
      </c>
      <c r="Q101" s="8"/>
    </row>
    <row r="102" spans="1:17" ht="28" x14ac:dyDescent="0.3">
      <c r="A102" s="3">
        <v>44.4</v>
      </c>
      <c r="B102" s="4" t="s">
        <v>145</v>
      </c>
      <c r="C102" s="7">
        <v>35</v>
      </c>
      <c r="D102" s="5">
        <v>25</v>
      </c>
      <c r="E102" s="5">
        <v>35</v>
      </c>
      <c r="F102" s="13">
        <f t="shared" si="25"/>
        <v>95</v>
      </c>
      <c r="G102" s="5">
        <v>25</v>
      </c>
      <c r="H102" s="5">
        <v>20</v>
      </c>
      <c r="I102" s="5">
        <v>25</v>
      </c>
      <c r="J102" s="14">
        <f t="shared" si="26"/>
        <v>70</v>
      </c>
      <c r="K102" s="5">
        <v>0</v>
      </c>
      <c r="L102" s="5">
        <v>0</v>
      </c>
      <c r="M102" s="14">
        <f t="shared" si="27"/>
        <v>0</v>
      </c>
      <c r="N102" s="6">
        <f t="shared" si="28"/>
        <v>96.75</v>
      </c>
      <c r="O102" s="5" t="str">
        <f t="shared" si="29"/>
        <v>Red</v>
      </c>
      <c r="P102" s="7" t="s">
        <v>610</v>
      </c>
      <c r="Q102" s="8"/>
    </row>
    <row r="103" spans="1:17" ht="42" x14ac:dyDescent="0.3">
      <c r="A103" s="3">
        <v>44.5</v>
      </c>
      <c r="B103" s="4" t="s">
        <v>358</v>
      </c>
      <c r="C103" s="7">
        <v>30</v>
      </c>
      <c r="D103" s="5">
        <v>15</v>
      </c>
      <c r="E103" s="5">
        <v>30</v>
      </c>
      <c r="F103" s="13">
        <f t="shared" si="25"/>
        <v>75</v>
      </c>
      <c r="G103" s="5">
        <v>25</v>
      </c>
      <c r="H103" s="5">
        <v>0</v>
      </c>
      <c r="I103" s="5">
        <v>25</v>
      </c>
      <c r="J103" s="14">
        <f t="shared" si="26"/>
        <v>50</v>
      </c>
      <c r="K103" s="5">
        <v>0</v>
      </c>
      <c r="L103" s="5">
        <v>0</v>
      </c>
      <c r="M103" s="14">
        <f t="shared" si="27"/>
        <v>0</v>
      </c>
      <c r="N103" s="6">
        <f t="shared" si="28"/>
        <v>81.25</v>
      </c>
      <c r="O103" s="5" t="str">
        <f t="shared" si="29"/>
        <v>Red</v>
      </c>
      <c r="P103" s="7" t="s">
        <v>610</v>
      </c>
      <c r="Q103" s="8"/>
    </row>
    <row r="104" spans="1:17" ht="56" x14ac:dyDescent="0.3">
      <c r="A104" s="3">
        <v>44.6</v>
      </c>
      <c r="B104" s="4" t="s">
        <v>359</v>
      </c>
      <c r="C104" s="7">
        <v>30</v>
      </c>
      <c r="D104" s="5">
        <v>15</v>
      </c>
      <c r="E104" s="5">
        <v>25</v>
      </c>
      <c r="F104" s="13">
        <f t="shared" si="25"/>
        <v>70</v>
      </c>
      <c r="G104" s="5">
        <v>25</v>
      </c>
      <c r="H104" s="5">
        <v>0</v>
      </c>
      <c r="I104" s="5">
        <v>25</v>
      </c>
      <c r="J104" s="14">
        <f t="shared" si="26"/>
        <v>50</v>
      </c>
      <c r="K104" s="5">
        <v>0</v>
      </c>
      <c r="L104" s="5">
        <v>0</v>
      </c>
      <c r="M104" s="14">
        <f t="shared" si="27"/>
        <v>0</v>
      </c>
      <c r="N104" s="6">
        <f t="shared" si="28"/>
        <v>77.5</v>
      </c>
      <c r="O104" s="5" t="str">
        <f t="shared" si="29"/>
        <v>Orange</v>
      </c>
      <c r="P104" s="7" t="s">
        <v>610</v>
      </c>
      <c r="Q104" s="8" t="s">
        <v>530</v>
      </c>
    </row>
    <row r="105" spans="1:17" ht="28" x14ac:dyDescent="0.3">
      <c r="A105" s="3">
        <v>44.7</v>
      </c>
      <c r="B105" s="4" t="s">
        <v>146</v>
      </c>
      <c r="C105" s="7">
        <v>20</v>
      </c>
      <c r="D105" s="5">
        <v>0</v>
      </c>
      <c r="E105" s="5">
        <v>25</v>
      </c>
      <c r="F105" s="13">
        <f t="shared" si="25"/>
        <v>45</v>
      </c>
      <c r="G105" s="5">
        <v>0</v>
      </c>
      <c r="H105" s="5">
        <v>0</v>
      </c>
      <c r="I105" s="5">
        <v>0</v>
      </c>
      <c r="J105" s="14">
        <f t="shared" si="26"/>
        <v>0</v>
      </c>
      <c r="K105" s="5">
        <v>0</v>
      </c>
      <c r="L105" s="5">
        <v>0</v>
      </c>
      <c r="M105" s="14">
        <f t="shared" si="27"/>
        <v>0</v>
      </c>
      <c r="N105" s="6">
        <f t="shared" si="28"/>
        <v>45</v>
      </c>
      <c r="O105" s="5" t="str">
        <f t="shared" si="29"/>
        <v>Green</v>
      </c>
      <c r="P105" s="7" t="s">
        <v>610</v>
      </c>
      <c r="Q105" s="8"/>
    </row>
    <row r="106" spans="1:17" ht="28" x14ac:dyDescent="0.3">
      <c r="A106" s="3">
        <v>45</v>
      </c>
      <c r="B106" s="4" t="s">
        <v>252</v>
      </c>
      <c r="C106" s="5">
        <v>0</v>
      </c>
      <c r="D106" s="5">
        <v>0</v>
      </c>
      <c r="E106" s="5">
        <v>0</v>
      </c>
      <c r="F106" s="14">
        <f t="shared" si="25"/>
        <v>0</v>
      </c>
      <c r="G106" s="5">
        <v>0</v>
      </c>
      <c r="H106" s="5">
        <v>0</v>
      </c>
      <c r="I106" s="5">
        <v>0</v>
      </c>
      <c r="J106" s="14">
        <f t="shared" si="26"/>
        <v>0</v>
      </c>
      <c r="K106" s="5">
        <v>10</v>
      </c>
      <c r="L106" s="5">
        <v>10</v>
      </c>
      <c r="M106" s="14">
        <f t="shared" si="27"/>
        <v>20</v>
      </c>
      <c r="N106" s="6">
        <f t="shared" si="28"/>
        <v>20</v>
      </c>
      <c r="O106" s="5" t="str">
        <f t="shared" si="29"/>
        <v>White</v>
      </c>
      <c r="P106" s="7" t="s">
        <v>610</v>
      </c>
      <c r="Q106" s="8"/>
    </row>
    <row r="107" spans="1:17" ht="98" x14ac:dyDescent="0.3">
      <c r="A107" s="3">
        <v>46</v>
      </c>
      <c r="B107" s="4" t="s">
        <v>468</v>
      </c>
      <c r="C107" s="7">
        <v>25</v>
      </c>
      <c r="D107" s="5">
        <v>30</v>
      </c>
      <c r="E107" s="5">
        <v>15</v>
      </c>
      <c r="F107" s="13">
        <f t="shared" si="25"/>
        <v>70</v>
      </c>
      <c r="G107" s="7">
        <v>0</v>
      </c>
      <c r="H107" s="5">
        <v>30</v>
      </c>
      <c r="I107" s="5">
        <v>0</v>
      </c>
      <c r="J107" s="13">
        <f t="shared" si="26"/>
        <v>30</v>
      </c>
      <c r="K107" s="5">
        <v>30</v>
      </c>
      <c r="L107" s="7">
        <v>10</v>
      </c>
      <c r="M107" s="13">
        <f t="shared" si="27"/>
        <v>40</v>
      </c>
      <c r="N107" s="6">
        <f t="shared" si="28"/>
        <v>80.5</v>
      </c>
      <c r="O107" s="5" t="str">
        <f t="shared" si="29"/>
        <v>Red</v>
      </c>
      <c r="P107" s="7" t="s">
        <v>610</v>
      </c>
      <c r="Q107" s="8" t="s">
        <v>521</v>
      </c>
    </row>
    <row r="108" spans="1:17" ht="70" x14ac:dyDescent="0.3">
      <c r="A108" s="3">
        <v>47</v>
      </c>
      <c r="B108" s="4" t="s">
        <v>376</v>
      </c>
      <c r="C108" s="7">
        <v>0</v>
      </c>
      <c r="D108" s="7">
        <v>15</v>
      </c>
      <c r="E108" s="7">
        <v>15</v>
      </c>
      <c r="F108" s="13">
        <f t="shared" si="25"/>
        <v>30</v>
      </c>
      <c r="G108" s="7">
        <v>0</v>
      </c>
      <c r="H108" s="7">
        <v>25</v>
      </c>
      <c r="I108" s="7">
        <v>0</v>
      </c>
      <c r="J108" s="13">
        <f t="shared" si="26"/>
        <v>25</v>
      </c>
      <c r="K108" s="7">
        <v>0</v>
      </c>
      <c r="L108" s="7">
        <v>0</v>
      </c>
      <c r="M108" s="13">
        <f t="shared" si="27"/>
        <v>0</v>
      </c>
      <c r="N108" s="6">
        <f t="shared" si="28"/>
        <v>38.75</v>
      </c>
      <c r="O108" s="5" t="str">
        <f t="shared" si="29"/>
        <v>Green</v>
      </c>
      <c r="P108" s="7" t="s">
        <v>610</v>
      </c>
      <c r="Q108" s="8" t="s">
        <v>538</v>
      </c>
    </row>
    <row r="109" spans="1:17" ht="42" x14ac:dyDescent="0.3">
      <c r="A109" s="3">
        <v>48</v>
      </c>
      <c r="B109" s="4" t="s">
        <v>237</v>
      </c>
      <c r="C109" s="5">
        <v>0</v>
      </c>
      <c r="D109" s="5">
        <v>0</v>
      </c>
      <c r="E109" s="5">
        <v>0</v>
      </c>
      <c r="F109" s="14">
        <f t="shared" si="25"/>
        <v>0</v>
      </c>
      <c r="G109" s="7">
        <v>0</v>
      </c>
      <c r="H109" s="5">
        <v>30</v>
      </c>
      <c r="I109" s="5">
        <v>0</v>
      </c>
      <c r="J109" s="13">
        <f t="shared" si="26"/>
        <v>30</v>
      </c>
      <c r="K109" s="7">
        <v>0</v>
      </c>
      <c r="L109" s="7">
        <v>0</v>
      </c>
      <c r="M109" s="13">
        <f t="shared" si="27"/>
        <v>0</v>
      </c>
      <c r="N109" s="6">
        <f t="shared" si="28"/>
        <v>30</v>
      </c>
      <c r="O109" s="5" t="str">
        <f t="shared" si="29"/>
        <v>Green</v>
      </c>
      <c r="P109" s="7" t="s">
        <v>610</v>
      </c>
      <c r="Q109" s="8" t="s">
        <v>566</v>
      </c>
    </row>
    <row r="110" spans="1:17" ht="42" x14ac:dyDescent="0.3">
      <c r="A110" s="3">
        <v>49</v>
      </c>
      <c r="B110" s="4" t="s">
        <v>253</v>
      </c>
      <c r="C110" s="5">
        <v>0</v>
      </c>
      <c r="D110" s="5">
        <v>0</v>
      </c>
      <c r="E110" s="5">
        <v>0</v>
      </c>
      <c r="F110" s="14">
        <f t="shared" si="25"/>
        <v>0</v>
      </c>
      <c r="G110" s="5">
        <v>0</v>
      </c>
      <c r="H110" s="5">
        <v>0</v>
      </c>
      <c r="I110" s="5">
        <v>0</v>
      </c>
      <c r="J110" s="14">
        <f t="shared" si="26"/>
        <v>0</v>
      </c>
      <c r="K110" s="5">
        <v>0</v>
      </c>
      <c r="L110" s="5">
        <v>0</v>
      </c>
      <c r="M110" s="14">
        <f t="shared" si="27"/>
        <v>0</v>
      </c>
      <c r="N110" s="6">
        <f t="shared" si="28"/>
        <v>0</v>
      </c>
      <c r="O110" s="5" t="str">
        <f t="shared" si="29"/>
        <v>White</v>
      </c>
      <c r="P110" s="7" t="s">
        <v>610</v>
      </c>
      <c r="Q110" s="8"/>
    </row>
    <row r="111" spans="1:17" ht="28" x14ac:dyDescent="0.3">
      <c r="A111" s="3">
        <v>50</v>
      </c>
      <c r="B111" s="4" t="s">
        <v>254</v>
      </c>
      <c r="C111" s="5">
        <v>0</v>
      </c>
      <c r="D111" s="5">
        <v>0</v>
      </c>
      <c r="E111" s="5">
        <v>0</v>
      </c>
      <c r="F111" s="14">
        <f t="shared" si="25"/>
        <v>0</v>
      </c>
      <c r="G111" s="5">
        <v>0</v>
      </c>
      <c r="H111" s="5">
        <v>0</v>
      </c>
      <c r="I111" s="5">
        <v>0</v>
      </c>
      <c r="J111" s="14">
        <f t="shared" si="26"/>
        <v>0</v>
      </c>
      <c r="K111" s="5">
        <v>0</v>
      </c>
      <c r="L111" s="5">
        <v>0</v>
      </c>
      <c r="M111" s="14">
        <f t="shared" si="27"/>
        <v>0</v>
      </c>
      <c r="N111" s="6">
        <f t="shared" si="28"/>
        <v>0</v>
      </c>
      <c r="O111" s="5" t="str">
        <f t="shared" si="29"/>
        <v>White</v>
      </c>
      <c r="P111" s="7" t="s">
        <v>610</v>
      </c>
      <c r="Q111" s="8"/>
    </row>
    <row r="112" spans="1:17" ht="56" x14ac:dyDescent="0.3">
      <c r="A112" s="3">
        <v>51</v>
      </c>
      <c r="B112" s="4" t="s">
        <v>255</v>
      </c>
      <c r="C112" s="5">
        <v>0</v>
      </c>
      <c r="D112" s="5">
        <v>0</v>
      </c>
      <c r="E112" s="5">
        <v>0</v>
      </c>
      <c r="F112" s="14">
        <f t="shared" si="25"/>
        <v>0</v>
      </c>
      <c r="G112" s="5">
        <v>0</v>
      </c>
      <c r="H112" s="5">
        <v>0</v>
      </c>
      <c r="I112" s="5">
        <v>0</v>
      </c>
      <c r="J112" s="14">
        <f t="shared" si="26"/>
        <v>0</v>
      </c>
      <c r="K112" s="5">
        <v>0</v>
      </c>
      <c r="L112" s="5">
        <v>0</v>
      </c>
      <c r="M112" s="14">
        <f t="shared" si="27"/>
        <v>0</v>
      </c>
      <c r="N112" s="6">
        <f t="shared" si="28"/>
        <v>0</v>
      </c>
      <c r="O112" s="5" t="str">
        <f t="shared" si="29"/>
        <v>White</v>
      </c>
      <c r="P112" s="7" t="s">
        <v>610</v>
      </c>
      <c r="Q112" s="8"/>
    </row>
    <row r="113" spans="1:17" ht="28" x14ac:dyDescent="0.3">
      <c r="A113" s="3">
        <v>52</v>
      </c>
      <c r="B113" s="4" t="s">
        <v>23</v>
      </c>
      <c r="C113" s="5"/>
      <c r="D113" s="5"/>
      <c r="E113" s="5"/>
      <c r="F113" s="14"/>
      <c r="G113" s="7"/>
      <c r="H113" s="5"/>
      <c r="I113" s="5"/>
      <c r="J113" s="14"/>
      <c r="K113" s="7"/>
      <c r="L113" s="7"/>
      <c r="M113" s="14"/>
      <c r="N113" s="6"/>
      <c r="O113" s="5"/>
      <c r="P113" s="7" t="s">
        <v>610</v>
      </c>
      <c r="Q113" s="8"/>
    </row>
    <row r="114" spans="1:17" ht="42" x14ac:dyDescent="0.3">
      <c r="A114" s="3">
        <v>52.1</v>
      </c>
      <c r="B114" s="4" t="s">
        <v>24</v>
      </c>
      <c r="C114" s="5">
        <v>0</v>
      </c>
      <c r="D114" s="5">
        <v>0</v>
      </c>
      <c r="E114" s="5">
        <v>0</v>
      </c>
      <c r="F114" s="14">
        <f>C114+D114+E114</f>
        <v>0</v>
      </c>
      <c r="G114" s="7">
        <v>35</v>
      </c>
      <c r="H114" s="5">
        <v>0</v>
      </c>
      <c r="I114" s="5">
        <v>25</v>
      </c>
      <c r="J114" s="13">
        <f>G114+H114+I114</f>
        <v>60</v>
      </c>
      <c r="K114" s="7">
        <v>25</v>
      </c>
      <c r="L114" s="7">
        <v>20</v>
      </c>
      <c r="M114" s="13">
        <f>K114+L114</f>
        <v>45</v>
      </c>
      <c r="N114" s="6">
        <f>(MAX(F114,J114,M114))+((100-MAX(F114,J114,M114))*((MEDIAN(F114,J114,M114)+MIN(F114,J114,M114))/200))</f>
        <v>69</v>
      </c>
      <c r="O114" s="5" t="str">
        <f>IF(N114&gt;=80,"Red",IF(AND(N114&gt;=55,N114&lt;80),"Orange",IF(AND(N114&gt;=25,N114&lt;55),"Green",IF(N114&lt;25,"White"))))</f>
        <v>Orange</v>
      </c>
      <c r="P114" s="7" t="s">
        <v>610</v>
      </c>
      <c r="Q114" s="8" t="s">
        <v>531</v>
      </c>
    </row>
    <row r="115" spans="1:17" ht="28" x14ac:dyDescent="0.3">
      <c r="A115" s="3">
        <v>52.2</v>
      </c>
      <c r="B115" s="4" t="s">
        <v>25</v>
      </c>
      <c r="C115" s="5">
        <v>0</v>
      </c>
      <c r="D115" s="5">
        <v>0</v>
      </c>
      <c r="E115" s="5">
        <v>0</v>
      </c>
      <c r="F115" s="14">
        <f>C115+D115+E115</f>
        <v>0</v>
      </c>
      <c r="G115" s="7">
        <v>30</v>
      </c>
      <c r="H115" s="5">
        <v>0</v>
      </c>
      <c r="I115" s="5">
        <v>25</v>
      </c>
      <c r="J115" s="13">
        <f>G115+H115+I115</f>
        <v>55</v>
      </c>
      <c r="K115" s="7">
        <v>25</v>
      </c>
      <c r="L115" s="7">
        <v>20</v>
      </c>
      <c r="M115" s="13">
        <f>K115+L115</f>
        <v>45</v>
      </c>
      <c r="N115" s="6">
        <f>(MAX(F115,J115,M115))+((100-MAX(F115,J115,M115))*((MEDIAN(F115,J115,M115)+MIN(F115,J115,M115))/200))</f>
        <v>65.125</v>
      </c>
      <c r="O115" s="5" t="str">
        <f>IF(N115&gt;=80,"Red",IF(AND(N115&gt;=55,N115&lt;80),"Orange",IF(AND(N115&gt;=25,N115&lt;55),"Green",IF(N115&lt;25,"White"))))</f>
        <v>Orange</v>
      </c>
      <c r="P115" s="7" t="s">
        <v>610</v>
      </c>
      <c r="Q115" s="8"/>
    </row>
    <row r="116" spans="1:17" ht="28" x14ac:dyDescent="0.3">
      <c r="A116" s="3">
        <v>53</v>
      </c>
      <c r="B116" s="4" t="s">
        <v>429</v>
      </c>
      <c r="C116" s="5">
        <v>0</v>
      </c>
      <c r="D116" s="5">
        <v>0</v>
      </c>
      <c r="E116" s="5">
        <v>0</v>
      </c>
      <c r="F116" s="14">
        <f>C116+D116+E116</f>
        <v>0</v>
      </c>
      <c r="G116" s="7">
        <v>35</v>
      </c>
      <c r="H116" s="5">
        <v>30</v>
      </c>
      <c r="I116" s="5">
        <v>0</v>
      </c>
      <c r="J116" s="13">
        <f>G116+H116+I116</f>
        <v>65</v>
      </c>
      <c r="K116" s="7">
        <v>30</v>
      </c>
      <c r="L116" s="7">
        <v>10</v>
      </c>
      <c r="M116" s="13">
        <f>K116+L116</f>
        <v>40</v>
      </c>
      <c r="N116" s="6">
        <f>(MAX(F116,J116,M116))+((100-MAX(F116,J116,M116))*((MEDIAN(F116,J116,M116)+MIN(F116,J116,M116))/200))</f>
        <v>72</v>
      </c>
      <c r="O116" s="5" t="str">
        <f>IF(N116&gt;=80,"Red",IF(AND(N116&gt;=55,N116&lt;80),"Orange",IF(AND(N116&gt;=25,N116&lt;55),"Green",IF(N116&lt;25,"White"))))</f>
        <v>Orange</v>
      </c>
      <c r="P116" s="7" t="s">
        <v>610</v>
      </c>
      <c r="Q116" s="8"/>
    </row>
    <row r="117" spans="1:17" ht="28" x14ac:dyDescent="0.3">
      <c r="A117" s="3">
        <v>54</v>
      </c>
      <c r="B117" s="4" t="s">
        <v>446</v>
      </c>
      <c r="C117" s="7"/>
      <c r="D117" s="7"/>
      <c r="E117" s="7"/>
      <c r="F117" s="14"/>
      <c r="G117" s="7"/>
      <c r="H117" s="7"/>
      <c r="I117" s="7"/>
      <c r="J117" s="14"/>
      <c r="K117" s="7"/>
      <c r="L117" s="7"/>
      <c r="M117" s="14"/>
      <c r="N117" s="6"/>
      <c r="O117" s="5"/>
      <c r="P117" s="7" t="s">
        <v>610</v>
      </c>
      <c r="Q117" s="8"/>
    </row>
    <row r="118" spans="1:17" ht="28" x14ac:dyDescent="0.3">
      <c r="A118" s="3">
        <v>54.1</v>
      </c>
      <c r="B118" s="4" t="s">
        <v>447</v>
      </c>
      <c r="C118" s="5">
        <v>35</v>
      </c>
      <c r="D118" s="5">
        <v>30</v>
      </c>
      <c r="E118" s="5">
        <v>35</v>
      </c>
      <c r="F118" s="14">
        <f>C118+D118+E118</f>
        <v>100</v>
      </c>
      <c r="G118" s="5">
        <v>30</v>
      </c>
      <c r="H118" s="5">
        <v>25</v>
      </c>
      <c r="I118" s="5">
        <v>35</v>
      </c>
      <c r="J118" s="14">
        <f>G118+H118+I118</f>
        <v>90</v>
      </c>
      <c r="K118" s="5">
        <v>30</v>
      </c>
      <c r="L118" s="5">
        <v>20</v>
      </c>
      <c r="M118" s="14">
        <f>K118+L118</f>
        <v>50</v>
      </c>
      <c r="N118" s="6">
        <f>(MAX(F118,J118,M118))+((100-MAX(F118,J118,M118))*((MEDIAN(F118,J118,M118)+MIN(F118,J118,M118))/200))</f>
        <v>100</v>
      </c>
      <c r="O118" s="5" t="str">
        <f>IF(N118&gt;=80,"Red",IF(AND(N118&gt;=55,N118&lt;80),"Orange",IF(AND(N118&gt;=25,N118&lt;55),"Green",IF(N118&lt;25,"White"))))</f>
        <v>Red</v>
      </c>
      <c r="P118" s="7" t="s">
        <v>610</v>
      </c>
      <c r="Q118" s="8"/>
    </row>
    <row r="119" spans="1:17" ht="42" x14ac:dyDescent="0.3">
      <c r="A119" s="3">
        <v>54.2</v>
      </c>
      <c r="B119" s="4" t="s">
        <v>448</v>
      </c>
      <c r="C119" s="7">
        <v>25</v>
      </c>
      <c r="D119" s="7">
        <v>20</v>
      </c>
      <c r="E119" s="7">
        <v>25</v>
      </c>
      <c r="F119" s="13">
        <f>C119+D119+E119</f>
        <v>70</v>
      </c>
      <c r="G119" s="7">
        <v>30</v>
      </c>
      <c r="H119" s="7">
        <v>20</v>
      </c>
      <c r="I119" s="7">
        <v>25</v>
      </c>
      <c r="J119" s="13">
        <f>G119+H119+I119</f>
        <v>75</v>
      </c>
      <c r="K119" s="7">
        <v>20</v>
      </c>
      <c r="L119" s="7">
        <v>10</v>
      </c>
      <c r="M119" s="13">
        <f>K119+L119</f>
        <v>30</v>
      </c>
      <c r="N119" s="6">
        <f>(MAX(F119,J119,M119))+((100-MAX(F119,J119,M119))*((MEDIAN(F119,J119,M119)+MIN(F119,J119,M119))/200))</f>
        <v>87.5</v>
      </c>
      <c r="O119" s="5" t="str">
        <f>IF(N119&gt;=80,"Red",IF(AND(N119&gt;=55,N119&lt;80),"Orange",IF(AND(N119&gt;=25,N119&lt;55),"Green",IF(N119&lt;25,"White"))))</f>
        <v>Red</v>
      </c>
      <c r="P119" s="7" t="s">
        <v>610</v>
      </c>
      <c r="Q119" s="8"/>
    </row>
    <row r="120" spans="1:17" ht="56" x14ac:dyDescent="0.3">
      <c r="A120" s="3">
        <v>54.3</v>
      </c>
      <c r="B120" s="4" t="s">
        <v>445</v>
      </c>
      <c r="C120" s="2">
        <v>25</v>
      </c>
      <c r="D120" s="2">
        <v>20</v>
      </c>
      <c r="E120" s="2">
        <v>25</v>
      </c>
      <c r="F120" s="13">
        <f>C120+D120+E120</f>
        <v>70</v>
      </c>
      <c r="G120" s="2">
        <v>30</v>
      </c>
      <c r="H120" s="2">
        <v>20</v>
      </c>
      <c r="I120" s="2">
        <v>10</v>
      </c>
      <c r="J120" s="13">
        <f>G120+H120+I120</f>
        <v>60</v>
      </c>
      <c r="K120" s="7">
        <v>20</v>
      </c>
      <c r="L120" s="2">
        <v>10</v>
      </c>
      <c r="M120" s="13">
        <f>K120+L120</f>
        <v>30</v>
      </c>
      <c r="N120" s="6">
        <f>(MAX(F120,J120,M120))+((100-MAX(F120,J120,M120))*((MEDIAN(F120,J120,M120)+MIN(F120,J120,M120))/200))</f>
        <v>83.5</v>
      </c>
      <c r="O120" s="5" t="str">
        <f>IF(N120&gt;=80,"Red",IF(AND(N120&gt;=55,N120&lt;80),"Orange",IF(AND(N120&gt;=25,N120&lt;55),"Green",IF(N120&lt;25,"White"))))</f>
        <v>Red</v>
      </c>
      <c r="P120" s="7" t="s">
        <v>610</v>
      </c>
      <c r="Q120" s="8"/>
    </row>
    <row r="121" spans="1:17" ht="28" x14ac:dyDescent="0.3">
      <c r="A121" s="3">
        <v>55</v>
      </c>
      <c r="B121" s="4" t="s">
        <v>78</v>
      </c>
      <c r="C121" s="5"/>
      <c r="D121" s="5"/>
      <c r="E121" s="5"/>
      <c r="F121" s="14"/>
      <c r="G121" s="5"/>
      <c r="H121" s="5"/>
      <c r="I121" s="5"/>
      <c r="J121" s="14"/>
      <c r="K121" s="5"/>
      <c r="L121" s="5"/>
      <c r="M121" s="14"/>
      <c r="N121" s="6"/>
      <c r="O121" s="5"/>
      <c r="P121" s="7" t="s">
        <v>610</v>
      </c>
      <c r="Q121" s="8"/>
    </row>
    <row r="122" spans="1:17" ht="28" x14ac:dyDescent="0.3">
      <c r="A122" s="3">
        <v>55.1</v>
      </c>
      <c r="B122" s="4" t="s">
        <v>79</v>
      </c>
      <c r="C122" s="5">
        <v>10</v>
      </c>
      <c r="D122" s="5">
        <v>30</v>
      </c>
      <c r="E122" s="5">
        <v>35</v>
      </c>
      <c r="F122" s="14">
        <f t="shared" ref="F122:F127" si="30">C122+D122+E122</f>
        <v>75</v>
      </c>
      <c r="G122" s="5">
        <v>30</v>
      </c>
      <c r="H122" s="5">
        <v>30</v>
      </c>
      <c r="I122" s="5">
        <v>20</v>
      </c>
      <c r="J122" s="14">
        <f t="shared" ref="J122:J127" si="31">G122+H122+I122</f>
        <v>80</v>
      </c>
      <c r="K122" s="7">
        <v>20</v>
      </c>
      <c r="L122" s="5">
        <v>30</v>
      </c>
      <c r="M122" s="14">
        <f t="shared" ref="M122:M127" si="32">K122+L122</f>
        <v>50</v>
      </c>
      <c r="N122" s="6">
        <f t="shared" ref="N122:N127" si="33">(MAX(F122,J122,M122))+((100-MAX(F122,J122,M122))*((MEDIAN(F122,J122,M122)+MIN(F122,J122,M122))/200))</f>
        <v>92.5</v>
      </c>
      <c r="O122" s="5" t="str">
        <f t="shared" ref="O122:O127" si="34">IF(N122&gt;=80,"Red",IF(AND(N122&gt;=55,N122&lt;80),"Orange",IF(AND(N122&gt;=25,N122&lt;55),"Green",IF(N122&lt;25,"White"))))</f>
        <v>Red</v>
      </c>
      <c r="P122" s="7" t="s">
        <v>610</v>
      </c>
      <c r="Q122" s="8"/>
    </row>
    <row r="123" spans="1:17" ht="28" x14ac:dyDescent="0.3">
      <c r="A123" s="3">
        <v>55.2</v>
      </c>
      <c r="B123" s="4" t="s">
        <v>444</v>
      </c>
      <c r="C123" s="5">
        <v>10</v>
      </c>
      <c r="D123" s="5">
        <v>30</v>
      </c>
      <c r="E123" s="5">
        <v>25</v>
      </c>
      <c r="F123" s="14">
        <f t="shared" si="30"/>
        <v>65</v>
      </c>
      <c r="G123" s="7">
        <v>30</v>
      </c>
      <c r="H123" s="7">
        <v>25</v>
      </c>
      <c r="I123" s="7">
        <v>25</v>
      </c>
      <c r="J123" s="13">
        <f t="shared" si="31"/>
        <v>80</v>
      </c>
      <c r="K123" s="7">
        <v>20</v>
      </c>
      <c r="L123" s="7">
        <v>20</v>
      </c>
      <c r="M123" s="13">
        <f t="shared" si="32"/>
        <v>40</v>
      </c>
      <c r="N123" s="6">
        <f t="shared" si="33"/>
        <v>90.5</v>
      </c>
      <c r="O123" s="5" t="str">
        <f t="shared" si="34"/>
        <v>Red</v>
      </c>
      <c r="P123" s="7" t="s">
        <v>610</v>
      </c>
      <c r="Q123" s="8"/>
    </row>
    <row r="124" spans="1:17" ht="28" x14ac:dyDescent="0.3">
      <c r="A124" s="3">
        <v>55.3</v>
      </c>
      <c r="B124" s="4" t="s">
        <v>80</v>
      </c>
      <c r="C124" s="5">
        <v>10</v>
      </c>
      <c r="D124" s="5">
        <v>30</v>
      </c>
      <c r="E124" s="5">
        <v>25</v>
      </c>
      <c r="F124" s="14">
        <f t="shared" si="30"/>
        <v>65</v>
      </c>
      <c r="G124" s="7">
        <v>30</v>
      </c>
      <c r="H124" s="7">
        <v>25</v>
      </c>
      <c r="I124" s="7">
        <v>25</v>
      </c>
      <c r="J124" s="13">
        <f t="shared" si="31"/>
        <v>80</v>
      </c>
      <c r="K124" s="7">
        <v>20</v>
      </c>
      <c r="L124" s="7">
        <v>20</v>
      </c>
      <c r="M124" s="13">
        <f t="shared" si="32"/>
        <v>40</v>
      </c>
      <c r="N124" s="6">
        <f t="shared" si="33"/>
        <v>90.5</v>
      </c>
      <c r="O124" s="5" t="str">
        <f t="shared" si="34"/>
        <v>Red</v>
      </c>
      <c r="P124" s="7" t="s">
        <v>610</v>
      </c>
      <c r="Q124" s="8"/>
    </row>
    <row r="125" spans="1:17" ht="28" x14ac:dyDescent="0.3">
      <c r="A125" s="3">
        <v>55.4</v>
      </c>
      <c r="B125" s="4" t="s">
        <v>81</v>
      </c>
      <c r="C125" s="7">
        <v>10</v>
      </c>
      <c r="D125" s="7">
        <v>30</v>
      </c>
      <c r="E125" s="7">
        <v>25</v>
      </c>
      <c r="F125" s="13">
        <f t="shared" si="30"/>
        <v>65</v>
      </c>
      <c r="G125" s="7">
        <v>30</v>
      </c>
      <c r="H125" s="7">
        <v>25</v>
      </c>
      <c r="I125" s="7">
        <v>25</v>
      </c>
      <c r="J125" s="13">
        <f t="shared" si="31"/>
        <v>80</v>
      </c>
      <c r="K125" s="7">
        <v>20</v>
      </c>
      <c r="L125" s="7">
        <v>20</v>
      </c>
      <c r="M125" s="13">
        <f t="shared" si="32"/>
        <v>40</v>
      </c>
      <c r="N125" s="6">
        <f t="shared" si="33"/>
        <v>90.5</v>
      </c>
      <c r="O125" s="5" t="str">
        <f t="shared" si="34"/>
        <v>Red</v>
      </c>
      <c r="P125" s="7" t="s">
        <v>610</v>
      </c>
      <c r="Q125" s="8"/>
    </row>
    <row r="126" spans="1:17" ht="56" x14ac:dyDescent="0.3">
      <c r="A126" s="3">
        <v>55.5</v>
      </c>
      <c r="B126" s="4" t="s">
        <v>82</v>
      </c>
      <c r="C126" s="7">
        <v>10</v>
      </c>
      <c r="D126" s="7">
        <v>30</v>
      </c>
      <c r="E126" s="7">
        <v>15</v>
      </c>
      <c r="F126" s="13">
        <f t="shared" si="30"/>
        <v>55</v>
      </c>
      <c r="G126" s="7">
        <v>30</v>
      </c>
      <c r="H126" s="7">
        <v>30</v>
      </c>
      <c r="I126" s="7">
        <v>0</v>
      </c>
      <c r="J126" s="13">
        <f t="shared" si="31"/>
        <v>60</v>
      </c>
      <c r="K126" s="2">
        <v>10</v>
      </c>
      <c r="L126" s="7">
        <v>10</v>
      </c>
      <c r="M126" s="13">
        <f t="shared" si="32"/>
        <v>20</v>
      </c>
      <c r="N126" s="6">
        <f t="shared" si="33"/>
        <v>75</v>
      </c>
      <c r="O126" s="5" t="str">
        <f t="shared" si="34"/>
        <v>Orange</v>
      </c>
      <c r="P126" s="7" t="s">
        <v>610</v>
      </c>
      <c r="Q126" s="8"/>
    </row>
    <row r="127" spans="1:17" ht="28" x14ac:dyDescent="0.3">
      <c r="A127" s="3">
        <v>55.6</v>
      </c>
      <c r="B127" s="4" t="s">
        <v>83</v>
      </c>
      <c r="C127" s="7">
        <v>0</v>
      </c>
      <c r="D127" s="7">
        <v>0</v>
      </c>
      <c r="E127" s="7">
        <v>0</v>
      </c>
      <c r="F127" s="13">
        <f t="shared" si="30"/>
        <v>0</v>
      </c>
      <c r="G127" s="7">
        <v>30</v>
      </c>
      <c r="H127" s="7">
        <v>30</v>
      </c>
      <c r="I127" s="7">
        <v>0</v>
      </c>
      <c r="J127" s="13">
        <f t="shared" si="31"/>
        <v>60</v>
      </c>
      <c r="K127" s="2">
        <v>10</v>
      </c>
      <c r="L127" s="7">
        <v>10</v>
      </c>
      <c r="M127" s="13">
        <f t="shared" si="32"/>
        <v>20</v>
      </c>
      <c r="N127" s="6">
        <f t="shared" si="33"/>
        <v>64</v>
      </c>
      <c r="O127" s="5" t="str">
        <f t="shared" si="34"/>
        <v>Orange</v>
      </c>
      <c r="P127" s="7" t="s">
        <v>610</v>
      </c>
      <c r="Q127" s="8"/>
    </row>
    <row r="128" spans="1:17" ht="28" x14ac:dyDescent="0.3">
      <c r="A128" s="3">
        <v>56</v>
      </c>
      <c r="B128" s="4" t="s">
        <v>606</v>
      </c>
      <c r="C128" s="7"/>
      <c r="D128" s="7"/>
      <c r="E128" s="7"/>
      <c r="F128" s="13"/>
      <c r="G128" s="7"/>
      <c r="H128" s="7"/>
      <c r="I128" s="7"/>
      <c r="J128" s="13"/>
      <c r="K128" s="2"/>
      <c r="L128" s="7"/>
      <c r="M128" s="13"/>
      <c r="N128" s="6"/>
      <c r="O128" s="5"/>
      <c r="P128" s="7" t="s">
        <v>610</v>
      </c>
      <c r="Q128" s="8"/>
    </row>
    <row r="129" spans="1:17" ht="42" x14ac:dyDescent="0.3">
      <c r="A129" s="3">
        <v>56.1</v>
      </c>
      <c r="B129" s="4" t="s">
        <v>608</v>
      </c>
      <c r="C129" s="2">
        <v>25</v>
      </c>
      <c r="D129" s="5">
        <v>0</v>
      </c>
      <c r="E129" s="5">
        <v>25</v>
      </c>
      <c r="F129" s="13">
        <f>C129+D129+E129</f>
        <v>50</v>
      </c>
      <c r="G129" s="2">
        <v>25</v>
      </c>
      <c r="H129" s="5">
        <v>0</v>
      </c>
      <c r="I129" s="5">
        <v>25</v>
      </c>
      <c r="J129" s="13">
        <f>G129+H129+I129</f>
        <v>50</v>
      </c>
      <c r="K129" s="2">
        <v>0</v>
      </c>
      <c r="L129" s="2">
        <v>0</v>
      </c>
      <c r="M129" s="13">
        <f>K129+L129</f>
        <v>0</v>
      </c>
      <c r="N129" s="6">
        <f>(MAX(F129,J129,M129))+((100-MAX(F129,J129,M129))*((MEDIAN(F129,J129,M129)+MIN(F129,J129,M129))/200))</f>
        <v>62.5</v>
      </c>
      <c r="O129" s="5" t="str">
        <f>IF(N129&gt;=80,"Red",IF(AND(N129&gt;=55,N129&lt;80),"Orange",IF(AND(N129&gt;=25,N129&lt;55),"Green",IF(N129&lt;25,"White"))))</f>
        <v>Orange</v>
      </c>
      <c r="P129" s="7" t="s">
        <v>610</v>
      </c>
      <c r="Q129" s="8" t="s">
        <v>537</v>
      </c>
    </row>
    <row r="130" spans="1:17" ht="56" x14ac:dyDescent="0.3">
      <c r="A130" s="3">
        <v>56.2</v>
      </c>
      <c r="B130" s="4" t="s">
        <v>607</v>
      </c>
      <c r="C130" s="2">
        <v>25</v>
      </c>
      <c r="D130" s="5">
        <v>0</v>
      </c>
      <c r="E130" s="5">
        <v>15</v>
      </c>
      <c r="F130" s="13">
        <f>C130+D130+E130</f>
        <v>40</v>
      </c>
      <c r="G130" s="2">
        <v>0</v>
      </c>
      <c r="H130" s="5">
        <v>0</v>
      </c>
      <c r="I130" s="5">
        <v>0</v>
      </c>
      <c r="J130" s="13">
        <f>G130+H130+I130</f>
        <v>0</v>
      </c>
      <c r="K130" s="2">
        <v>0</v>
      </c>
      <c r="L130" s="2">
        <v>0</v>
      </c>
      <c r="M130" s="13">
        <f>K130+L130</f>
        <v>0</v>
      </c>
      <c r="N130" s="6">
        <f>(MAX(F130,J130,M130))+((100-MAX(F130,J130,M130))*((MEDIAN(F130,J130,M130)+MIN(F130,J130,M130))/200))</f>
        <v>40</v>
      </c>
      <c r="O130" s="5" t="str">
        <f>IF(N130&gt;=80,"Red",IF(AND(N130&gt;=55,N130&lt;80),"Orange",IF(AND(N130&gt;=25,N130&lt;55),"Green",IF(N130&lt;25,"White"))))</f>
        <v>Green</v>
      </c>
      <c r="P130" s="7" t="s">
        <v>610</v>
      </c>
      <c r="Q130" s="8"/>
    </row>
    <row r="131" spans="1:17" ht="28" x14ac:dyDescent="0.3">
      <c r="A131" s="3">
        <v>57</v>
      </c>
      <c r="B131" s="4" t="s">
        <v>148</v>
      </c>
      <c r="C131" s="5"/>
      <c r="D131" s="5"/>
      <c r="E131" s="5"/>
      <c r="F131" s="14"/>
      <c r="G131" s="7"/>
      <c r="H131" s="5"/>
      <c r="I131" s="5"/>
      <c r="J131" s="13"/>
      <c r="K131" s="7"/>
      <c r="L131" s="7"/>
      <c r="M131" s="13"/>
      <c r="N131" s="6"/>
      <c r="O131" s="5"/>
      <c r="P131" s="7" t="s">
        <v>610</v>
      </c>
      <c r="Q131" s="8"/>
    </row>
    <row r="132" spans="1:17" ht="56" x14ac:dyDescent="0.3">
      <c r="A132" s="3">
        <v>57.1</v>
      </c>
      <c r="B132" s="4" t="s">
        <v>453</v>
      </c>
      <c r="C132" s="5">
        <v>0</v>
      </c>
      <c r="D132" s="5">
        <v>20</v>
      </c>
      <c r="E132" s="5">
        <v>15</v>
      </c>
      <c r="F132" s="14">
        <f>C132+D132+E132</f>
        <v>35</v>
      </c>
      <c r="G132" s="7">
        <v>25</v>
      </c>
      <c r="H132" s="5">
        <v>25</v>
      </c>
      <c r="I132" s="5">
        <v>25</v>
      </c>
      <c r="J132" s="13">
        <f>G132+H132+I132</f>
        <v>75</v>
      </c>
      <c r="K132" s="7">
        <v>0</v>
      </c>
      <c r="L132" s="7">
        <v>0</v>
      </c>
      <c r="M132" s="13">
        <f>K132+L132</f>
        <v>0</v>
      </c>
      <c r="N132" s="6">
        <f>(MAX(F132,J132,M132))+((100-MAX(F132,J132,M132))*((MEDIAN(F132,J132,M132)+MIN(F132,J132,M132))/200))</f>
        <v>79.375</v>
      </c>
      <c r="O132" s="5" t="str">
        <f>IF(N132&gt;=80,"Red",IF(AND(N132&gt;=55,N132&lt;80),"Orange",IF(AND(N132&gt;=25,N132&lt;55),"Green",IF(N132&lt;25,"White"))))</f>
        <v>Orange</v>
      </c>
      <c r="P132" s="7" t="s">
        <v>610</v>
      </c>
      <c r="Q132" s="8" t="s">
        <v>535</v>
      </c>
    </row>
    <row r="133" spans="1:17" ht="28" x14ac:dyDescent="0.3">
      <c r="A133" s="3">
        <v>57.2</v>
      </c>
      <c r="B133" s="4" t="s">
        <v>454</v>
      </c>
      <c r="C133" s="5">
        <v>0</v>
      </c>
      <c r="D133" s="5">
        <v>0</v>
      </c>
      <c r="E133" s="5">
        <v>0</v>
      </c>
      <c r="F133" s="14">
        <f>C133+D133+E133</f>
        <v>0</v>
      </c>
      <c r="G133" s="7">
        <v>0</v>
      </c>
      <c r="H133" s="5">
        <v>25</v>
      </c>
      <c r="I133" s="5">
        <v>0</v>
      </c>
      <c r="J133" s="13">
        <f>G133+H133+I133</f>
        <v>25</v>
      </c>
      <c r="K133" s="7">
        <v>0</v>
      </c>
      <c r="L133" s="7">
        <v>0</v>
      </c>
      <c r="M133" s="13">
        <f>K133+L133</f>
        <v>0</v>
      </c>
      <c r="N133" s="6">
        <f>(MAX(F133,J133,M133))+((100-MAX(F133,J133,M133))*((MEDIAN(F133,J133,M133)+MIN(F133,J133,M133))/200))</f>
        <v>25</v>
      </c>
      <c r="O133" s="5" t="str">
        <f>IF(N133&gt;=80,"Red",IF(AND(N133&gt;=55,N133&lt;80),"Orange",IF(AND(N133&gt;=25,N133&lt;55),"Green",IF(N133&lt;25,"White"))))</f>
        <v>Green</v>
      </c>
      <c r="P133" s="7" t="s">
        <v>610</v>
      </c>
      <c r="Q133" s="8"/>
    </row>
    <row r="134" spans="1:17" ht="28" x14ac:dyDescent="0.3">
      <c r="A134" s="3">
        <v>58</v>
      </c>
      <c r="B134" s="4" t="s">
        <v>149</v>
      </c>
      <c r="C134" s="7">
        <v>25</v>
      </c>
      <c r="D134" s="5">
        <v>25</v>
      </c>
      <c r="E134" s="5">
        <v>20</v>
      </c>
      <c r="F134" s="13">
        <f>C134+D134+E134</f>
        <v>70</v>
      </c>
      <c r="G134" s="5">
        <v>0</v>
      </c>
      <c r="H134" s="5">
        <v>20</v>
      </c>
      <c r="I134" s="5">
        <v>0</v>
      </c>
      <c r="J134" s="14">
        <f>G134+H134+I134</f>
        <v>20</v>
      </c>
      <c r="K134" s="5">
        <v>0</v>
      </c>
      <c r="L134" s="5">
        <v>0</v>
      </c>
      <c r="M134" s="14">
        <f>K134+L134</f>
        <v>0</v>
      </c>
      <c r="N134" s="6">
        <f>(MAX(F134,J134,M134))+((100-MAX(F134,J134,M134))*((MEDIAN(F134,J134,M134)+MIN(F134,J134,M134))/200))</f>
        <v>73</v>
      </c>
      <c r="O134" s="5" t="str">
        <f>IF(N134&gt;=80,"Red",IF(AND(N134&gt;=55,N134&lt;80),"Orange",IF(AND(N134&gt;=25,N134&lt;55),"Green",IF(N134&lt;25,"White"))))</f>
        <v>Orange</v>
      </c>
      <c r="P134" s="7" t="s">
        <v>610</v>
      </c>
      <c r="Q134" s="8" t="s">
        <v>536</v>
      </c>
    </row>
    <row r="135" spans="1:17" ht="28" x14ac:dyDescent="0.3">
      <c r="A135" s="3">
        <v>59</v>
      </c>
      <c r="B135" s="4" t="s">
        <v>371</v>
      </c>
      <c r="C135" s="5"/>
      <c r="D135" s="5"/>
      <c r="E135" s="5"/>
      <c r="F135" s="14"/>
      <c r="G135" s="7"/>
      <c r="H135" s="5"/>
      <c r="I135" s="5"/>
      <c r="J135" s="14"/>
      <c r="K135" s="7"/>
      <c r="L135" s="7"/>
      <c r="M135" s="14"/>
      <c r="N135" s="6"/>
      <c r="O135" s="5"/>
      <c r="P135" s="7" t="s">
        <v>610</v>
      </c>
      <c r="Q135" s="8"/>
    </row>
    <row r="136" spans="1:17" ht="98" x14ac:dyDescent="0.3">
      <c r="A136" s="3">
        <v>59.1</v>
      </c>
      <c r="B136" s="4" t="s">
        <v>163</v>
      </c>
      <c r="C136" s="5">
        <v>0</v>
      </c>
      <c r="D136" s="5">
        <v>0</v>
      </c>
      <c r="E136" s="5">
        <v>0</v>
      </c>
      <c r="F136" s="14">
        <f>C136+D136+E136</f>
        <v>0</v>
      </c>
      <c r="G136" s="7">
        <v>25</v>
      </c>
      <c r="H136" s="5">
        <v>25</v>
      </c>
      <c r="I136" s="5">
        <v>10</v>
      </c>
      <c r="J136" s="13">
        <f>G136+H136+I136</f>
        <v>60</v>
      </c>
      <c r="K136" s="7">
        <v>0</v>
      </c>
      <c r="L136" s="7">
        <v>0</v>
      </c>
      <c r="M136" s="13">
        <f>K136+L136</f>
        <v>0</v>
      </c>
      <c r="N136" s="6">
        <f>(MAX(F136,J136,M136))+((100-MAX(F136,J136,M136))*((MEDIAN(F136,J136,M136)+MIN(F136,J136,M136))/200))</f>
        <v>60</v>
      </c>
      <c r="O136" s="5" t="str">
        <f>IF(N136&gt;=80,"Red",IF(AND(N136&gt;=55,N136&lt;80),"Orange",IF(AND(N136&gt;=25,N136&lt;55),"Green",IF(N136&lt;25,"White"))))</f>
        <v>Orange</v>
      </c>
      <c r="P136" s="7" t="s">
        <v>610</v>
      </c>
      <c r="Q136" s="8"/>
    </row>
    <row r="137" spans="1:17" ht="98" x14ac:dyDescent="0.3">
      <c r="A137" s="3">
        <v>59.2</v>
      </c>
      <c r="B137" s="4" t="s">
        <v>164</v>
      </c>
      <c r="C137" s="5">
        <v>0</v>
      </c>
      <c r="D137" s="5">
        <v>0</v>
      </c>
      <c r="E137" s="5">
        <v>0</v>
      </c>
      <c r="F137" s="14">
        <f>C137+D137+E137</f>
        <v>0</v>
      </c>
      <c r="G137" s="7">
        <v>0</v>
      </c>
      <c r="H137" s="5">
        <v>25</v>
      </c>
      <c r="I137" s="5">
        <v>0</v>
      </c>
      <c r="J137" s="13">
        <f>G137+H137+I137</f>
        <v>25</v>
      </c>
      <c r="K137" s="7">
        <v>0</v>
      </c>
      <c r="L137" s="7">
        <v>0</v>
      </c>
      <c r="M137" s="13">
        <f>K137+L137</f>
        <v>0</v>
      </c>
      <c r="N137" s="6">
        <f>(MAX(F137,J137,M137))+((100-MAX(F137,J137,M137))*((MEDIAN(F137,J137,M137)+MIN(F137,J137,M137))/200))</f>
        <v>25</v>
      </c>
      <c r="O137" s="5" t="str">
        <f>IF(N137&gt;=80,"Red",IF(AND(N137&gt;=55,N137&lt;80),"Orange",IF(AND(N137&gt;=25,N137&lt;55),"Green",IF(N137&lt;25,"White"))))</f>
        <v>Green</v>
      </c>
      <c r="P137" s="7" t="s">
        <v>610</v>
      </c>
      <c r="Q137" s="8"/>
    </row>
    <row r="138" spans="1:17" ht="28" x14ac:dyDescent="0.3">
      <c r="A138" s="3">
        <v>60</v>
      </c>
      <c r="B138" s="4" t="s">
        <v>206</v>
      </c>
      <c r="C138" s="5"/>
      <c r="D138" s="5"/>
      <c r="E138" s="5"/>
      <c r="F138" s="14"/>
      <c r="G138" s="7"/>
      <c r="H138" s="5"/>
      <c r="I138" s="5"/>
      <c r="J138" s="14"/>
      <c r="K138" s="7"/>
      <c r="L138" s="7"/>
      <c r="M138" s="14"/>
      <c r="N138" s="6"/>
      <c r="O138" s="5"/>
      <c r="P138" s="7" t="s">
        <v>610</v>
      </c>
      <c r="Q138" s="8"/>
    </row>
    <row r="139" spans="1:17" ht="84" x14ac:dyDescent="0.3">
      <c r="A139" s="3">
        <v>60.1</v>
      </c>
      <c r="B139" s="4" t="s">
        <v>207</v>
      </c>
      <c r="C139" s="5">
        <v>0</v>
      </c>
      <c r="D139" s="5">
        <v>0</v>
      </c>
      <c r="E139" s="5">
        <v>0</v>
      </c>
      <c r="F139" s="14">
        <f>C139+D139+E139</f>
        <v>0</v>
      </c>
      <c r="G139" s="7">
        <v>0</v>
      </c>
      <c r="H139" s="5">
        <v>25</v>
      </c>
      <c r="I139" s="5">
        <v>0</v>
      </c>
      <c r="J139" s="13">
        <f>G139+H139+I139</f>
        <v>25</v>
      </c>
      <c r="K139" s="7">
        <v>0</v>
      </c>
      <c r="L139" s="7">
        <v>0</v>
      </c>
      <c r="M139" s="13">
        <f>K139+L139</f>
        <v>0</v>
      </c>
      <c r="N139" s="6">
        <f>(MAX(F139,J139,M139))+((100-MAX(F139,J139,M139))*((MEDIAN(F139,J139,M139)+MIN(F139,J139,M139))/200))</f>
        <v>25</v>
      </c>
      <c r="O139" s="5" t="str">
        <f>IF(N139&gt;=80,"Red",IF(AND(N139&gt;=55,N139&lt;80),"Orange",IF(AND(N139&gt;=25,N139&lt;55),"Green",IF(N139&lt;25,"White"))))</f>
        <v>Green</v>
      </c>
      <c r="P139" s="7" t="s">
        <v>610</v>
      </c>
      <c r="Q139" s="8"/>
    </row>
    <row r="140" spans="1:17" ht="84" x14ac:dyDescent="0.3">
      <c r="A140" s="3">
        <v>60.2</v>
      </c>
      <c r="B140" s="4" t="s">
        <v>208</v>
      </c>
      <c r="C140" s="5">
        <v>0</v>
      </c>
      <c r="D140" s="5">
        <v>0</v>
      </c>
      <c r="E140" s="5">
        <v>0</v>
      </c>
      <c r="F140" s="14">
        <f>C140+D140+E140</f>
        <v>0</v>
      </c>
      <c r="G140" s="7">
        <v>0</v>
      </c>
      <c r="H140" s="5">
        <v>0</v>
      </c>
      <c r="I140" s="5">
        <v>0</v>
      </c>
      <c r="J140" s="13">
        <f>G140+H140+I140</f>
        <v>0</v>
      </c>
      <c r="K140" s="7">
        <v>0</v>
      </c>
      <c r="L140" s="7">
        <v>0</v>
      </c>
      <c r="M140" s="13">
        <f>K140+L140</f>
        <v>0</v>
      </c>
      <c r="N140" s="6">
        <f>(MAX(F140,J140,M140))+((100-MAX(F140,J140,M140))*((MEDIAN(F140,J140,M140)+MIN(F140,J140,M140))/200))</f>
        <v>0</v>
      </c>
      <c r="O140" s="5" t="str">
        <f>IF(N140&gt;=80,"Red",IF(AND(N140&gt;=55,N140&lt;80),"Orange",IF(AND(N140&gt;=25,N140&lt;55),"Green",IF(N140&lt;25,"White"))))</f>
        <v>White</v>
      </c>
      <c r="P140" s="7" t="s">
        <v>610</v>
      </c>
      <c r="Q140" s="8"/>
    </row>
    <row r="141" spans="1:17" ht="28" x14ac:dyDescent="0.3">
      <c r="A141" s="3">
        <v>61</v>
      </c>
      <c r="B141" s="4" t="s">
        <v>193</v>
      </c>
      <c r="C141" s="5">
        <v>0</v>
      </c>
      <c r="D141" s="5">
        <v>0</v>
      </c>
      <c r="E141" s="5">
        <v>0</v>
      </c>
      <c r="F141" s="14">
        <f>C141+D141+E141</f>
        <v>0</v>
      </c>
      <c r="G141" s="7">
        <v>35</v>
      </c>
      <c r="H141" s="5">
        <v>0</v>
      </c>
      <c r="I141" s="5">
        <v>0</v>
      </c>
      <c r="J141" s="13">
        <f>G141+H141+I141</f>
        <v>35</v>
      </c>
      <c r="K141" s="7">
        <v>20</v>
      </c>
      <c r="L141" s="7">
        <v>10</v>
      </c>
      <c r="M141" s="13">
        <f>K141+L141</f>
        <v>30</v>
      </c>
      <c r="N141" s="6">
        <f>(MAX(F141,J141,M141))+((100-MAX(F141,J141,M141))*((MEDIAN(F141,J141,M141)+MIN(F141,J141,M141))/200))</f>
        <v>44.75</v>
      </c>
      <c r="O141" s="5" t="str">
        <f>IF(N141&gt;=80,"Red",IF(AND(N141&gt;=55,N141&lt;80),"Orange",IF(AND(N141&gt;=25,N141&lt;55),"Green",IF(N141&lt;25,"White"))))</f>
        <v>Green</v>
      </c>
      <c r="P141" s="7" t="s">
        <v>610</v>
      </c>
      <c r="Q141" s="8" t="s">
        <v>549</v>
      </c>
    </row>
    <row r="142" spans="1:17" ht="28" x14ac:dyDescent="0.3">
      <c r="A142" s="3">
        <v>62</v>
      </c>
      <c r="B142" s="4" t="s">
        <v>216</v>
      </c>
      <c r="C142" s="5">
        <v>0</v>
      </c>
      <c r="D142" s="5">
        <v>0</v>
      </c>
      <c r="E142" s="5">
        <v>0</v>
      </c>
      <c r="F142" s="14">
        <f>C142+D142+E142</f>
        <v>0</v>
      </c>
      <c r="G142" s="7">
        <v>0</v>
      </c>
      <c r="H142" s="5">
        <v>25</v>
      </c>
      <c r="I142" s="5">
        <v>0</v>
      </c>
      <c r="J142" s="13">
        <f>G142+H142+I142</f>
        <v>25</v>
      </c>
      <c r="K142" s="7">
        <v>0</v>
      </c>
      <c r="L142" s="7">
        <v>0</v>
      </c>
      <c r="M142" s="13">
        <f>K142+L142</f>
        <v>0</v>
      </c>
      <c r="N142" s="6">
        <f>(MAX(F142,J142,M142))+((100-MAX(F142,J142,M142))*((MEDIAN(F142,J142,M142)+MIN(F142,J142,M142))/200))</f>
        <v>25</v>
      </c>
      <c r="O142" s="5" t="str">
        <f>IF(N142&gt;=80,"Red",IF(AND(N142&gt;=55,N142&lt;80),"Orange",IF(AND(N142&gt;=25,N142&lt;55),"Green",IF(N142&lt;25,"White"))))</f>
        <v>Green</v>
      </c>
      <c r="P142" s="7" t="s">
        <v>610</v>
      </c>
      <c r="Q142" s="8"/>
    </row>
    <row r="143" spans="1:17" ht="28" x14ac:dyDescent="0.3">
      <c r="A143" s="3">
        <v>63</v>
      </c>
      <c r="B143" s="4" t="s">
        <v>230</v>
      </c>
      <c r="C143" s="5"/>
      <c r="D143" s="5"/>
      <c r="E143" s="5"/>
      <c r="F143" s="14"/>
      <c r="G143" s="7"/>
      <c r="H143" s="5"/>
      <c r="I143" s="5"/>
      <c r="J143" s="14"/>
      <c r="K143" s="7"/>
      <c r="L143" s="7"/>
      <c r="M143" s="14"/>
      <c r="N143" s="6"/>
      <c r="O143" s="5"/>
      <c r="P143" s="7" t="s">
        <v>610</v>
      </c>
      <c r="Q143" s="8"/>
    </row>
    <row r="144" spans="1:17" ht="28" x14ac:dyDescent="0.3">
      <c r="A144" s="3">
        <v>63.1</v>
      </c>
      <c r="B144" s="4" t="s">
        <v>231</v>
      </c>
      <c r="C144" s="5">
        <v>0</v>
      </c>
      <c r="D144" s="5">
        <v>0</v>
      </c>
      <c r="E144" s="5">
        <v>0</v>
      </c>
      <c r="F144" s="14">
        <f>C144+D144+E144</f>
        <v>0</v>
      </c>
      <c r="G144" s="7">
        <v>0</v>
      </c>
      <c r="H144" s="5">
        <v>25</v>
      </c>
      <c r="I144" s="5">
        <v>0</v>
      </c>
      <c r="J144" s="13">
        <f>G144+H144+I144</f>
        <v>25</v>
      </c>
      <c r="K144" s="7">
        <v>0</v>
      </c>
      <c r="L144" s="7">
        <v>0</v>
      </c>
      <c r="M144" s="13">
        <f>K144+L144</f>
        <v>0</v>
      </c>
      <c r="N144" s="6">
        <f>(MAX(F144,J144,M144))+((100-MAX(F144,J144,M144))*((MEDIAN(F144,J144,M144)+MIN(F144,J144,M144))/200))</f>
        <v>25</v>
      </c>
      <c r="O144" s="5" t="str">
        <f>IF(N144&gt;=80,"Red",IF(AND(N144&gt;=55,N144&lt;80),"Orange",IF(AND(N144&gt;=25,N144&lt;55),"Green",IF(N144&lt;25,"White"))))</f>
        <v>Green</v>
      </c>
      <c r="P144" s="7" t="s">
        <v>610</v>
      </c>
      <c r="Q144" s="8" t="s">
        <v>563</v>
      </c>
    </row>
    <row r="145" spans="1:17" ht="28" x14ac:dyDescent="0.3">
      <c r="A145" s="3">
        <v>63.2</v>
      </c>
      <c r="B145" s="4" t="s">
        <v>232</v>
      </c>
      <c r="C145" s="5">
        <v>0</v>
      </c>
      <c r="D145" s="5">
        <v>0</v>
      </c>
      <c r="E145" s="5">
        <v>0</v>
      </c>
      <c r="F145" s="14">
        <f>C145+D145+E145</f>
        <v>0</v>
      </c>
      <c r="G145" s="7">
        <v>0</v>
      </c>
      <c r="H145" s="5">
        <v>0</v>
      </c>
      <c r="I145" s="5">
        <v>0</v>
      </c>
      <c r="J145" s="13">
        <f>G145+H145+I145</f>
        <v>0</v>
      </c>
      <c r="K145" s="7">
        <v>0</v>
      </c>
      <c r="L145" s="7">
        <v>0</v>
      </c>
      <c r="M145" s="13">
        <f>K145+L145</f>
        <v>0</v>
      </c>
      <c r="N145" s="6">
        <f>(MAX(F145,J145,M145))+((100-MAX(F145,J145,M145))*((MEDIAN(F145,J145,M145)+MIN(F145,J145,M145))/200))</f>
        <v>0</v>
      </c>
      <c r="O145" s="5" t="str">
        <f>IF(N145&gt;=80,"Red",IF(AND(N145&gt;=55,N145&lt;80),"Orange",IF(AND(N145&gt;=25,N145&lt;55),"Green",IF(N145&lt;25,"White"))))</f>
        <v>White</v>
      </c>
      <c r="P145" s="7" t="s">
        <v>610</v>
      </c>
      <c r="Q145" s="8" t="s">
        <v>563</v>
      </c>
    </row>
    <row r="146" spans="1:17" ht="28" x14ac:dyDescent="0.3">
      <c r="A146" s="3">
        <v>64</v>
      </c>
      <c r="B146" s="4" t="s">
        <v>49</v>
      </c>
      <c r="C146" s="7"/>
      <c r="D146" s="7"/>
      <c r="E146" s="7"/>
      <c r="F146" s="14"/>
      <c r="G146" s="7"/>
      <c r="H146" s="5"/>
      <c r="I146" s="5"/>
      <c r="J146" s="14"/>
      <c r="K146" s="7"/>
      <c r="L146" s="7"/>
      <c r="M146" s="14"/>
      <c r="N146" s="6"/>
      <c r="O146" s="5"/>
      <c r="P146" s="7" t="s">
        <v>610</v>
      </c>
      <c r="Q146" s="8"/>
    </row>
    <row r="147" spans="1:17" ht="28" x14ac:dyDescent="0.3">
      <c r="A147" s="3">
        <v>64.099999999999994</v>
      </c>
      <c r="B147" s="4" t="s">
        <v>50</v>
      </c>
      <c r="C147" s="7">
        <v>25</v>
      </c>
      <c r="D147" s="7">
        <v>20</v>
      </c>
      <c r="E147" s="7">
        <v>15</v>
      </c>
      <c r="F147" s="13">
        <f>C147+D147+E147</f>
        <v>60</v>
      </c>
      <c r="G147" s="7">
        <v>25</v>
      </c>
      <c r="H147" s="5">
        <v>20</v>
      </c>
      <c r="I147" s="5">
        <v>25</v>
      </c>
      <c r="J147" s="13">
        <f>G147+H147+I147</f>
        <v>70</v>
      </c>
      <c r="K147" s="2">
        <v>10</v>
      </c>
      <c r="L147" s="7">
        <v>10</v>
      </c>
      <c r="M147" s="13">
        <f>K147+L147</f>
        <v>20</v>
      </c>
      <c r="N147" s="6">
        <f>(MAX(F147,J147,M147))+((100-MAX(F147,J147,M147))*((MEDIAN(F147,J147,M147)+MIN(F147,J147,M147))/200))</f>
        <v>82</v>
      </c>
      <c r="O147" s="5" t="str">
        <f>IF(N147&gt;=80,"Red",IF(AND(N147&gt;=55,N147&lt;80),"Orange",IF(AND(N147&gt;=25,N147&lt;55),"Green",IF(N147&lt;25,"White"))))</f>
        <v>Red</v>
      </c>
      <c r="P147" s="7" t="s">
        <v>610</v>
      </c>
      <c r="Q147" s="8"/>
    </row>
    <row r="148" spans="1:17" ht="28" x14ac:dyDescent="0.3">
      <c r="A148" s="3">
        <v>64.2</v>
      </c>
      <c r="B148" s="4" t="s">
        <v>334</v>
      </c>
      <c r="C148" s="7">
        <v>25</v>
      </c>
      <c r="D148" s="7">
        <v>20</v>
      </c>
      <c r="E148" s="7">
        <v>15</v>
      </c>
      <c r="F148" s="13">
        <f>C148+D148+E148</f>
        <v>60</v>
      </c>
      <c r="G148" s="7">
        <v>25</v>
      </c>
      <c r="H148" s="5">
        <v>20</v>
      </c>
      <c r="I148" s="5">
        <v>15</v>
      </c>
      <c r="J148" s="13">
        <f>G148+H148+I148</f>
        <v>60</v>
      </c>
      <c r="K148" s="2">
        <v>10</v>
      </c>
      <c r="L148" s="7">
        <v>10</v>
      </c>
      <c r="M148" s="13">
        <f>K148+L148</f>
        <v>20</v>
      </c>
      <c r="N148" s="6">
        <f>(MAX(F148,J148,M148))+((100-MAX(F148,J148,M148))*((MEDIAN(F148,J148,M148)+MIN(F148,J148,M148))/200))</f>
        <v>76</v>
      </c>
      <c r="O148" s="5" t="str">
        <f>IF(N148&gt;=80,"Red",IF(AND(N148&gt;=55,N148&lt;80),"Orange",IF(AND(N148&gt;=25,N148&lt;55),"Green",IF(N148&lt;25,"White"))))</f>
        <v>Orange</v>
      </c>
      <c r="P148" s="7" t="s">
        <v>610</v>
      </c>
      <c r="Q148" s="8"/>
    </row>
    <row r="149" spans="1:17" ht="42" x14ac:dyDescent="0.3">
      <c r="A149" s="3">
        <v>65</v>
      </c>
      <c r="B149" s="4" t="s">
        <v>341</v>
      </c>
      <c r="C149" s="7"/>
      <c r="D149" s="5"/>
      <c r="E149" s="5"/>
      <c r="F149" s="14"/>
      <c r="G149" s="7"/>
      <c r="H149" s="5"/>
      <c r="I149" s="5"/>
      <c r="J149" s="14"/>
      <c r="K149" s="7"/>
      <c r="L149" s="7"/>
      <c r="M149" s="14"/>
      <c r="N149" s="6"/>
      <c r="O149" s="5"/>
      <c r="P149" s="7" t="s">
        <v>610</v>
      </c>
      <c r="Q149" s="8"/>
    </row>
    <row r="150" spans="1:17" ht="28" x14ac:dyDescent="0.3">
      <c r="A150" s="3">
        <v>65.099999999999994</v>
      </c>
      <c r="B150" s="4" t="s">
        <v>159</v>
      </c>
      <c r="C150" s="7">
        <v>0</v>
      </c>
      <c r="D150" s="5">
        <v>15</v>
      </c>
      <c r="E150" s="5">
        <v>15</v>
      </c>
      <c r="F150" s="13">
        <f>C150+D150+E150</f>
        <v>30</v>
      </c>
      <c r="G150" s="7">
        <v>25</v>
      </c>
      <c r="H150" s="5">
        <v>25</v>
      </c>
      <c r="I150" s="5">
        <v>25</v>
      </c>
      <c r="J150" s="13">
        <f>G150+H150+I150</f>
        <v>75</v>
      </c>
      <c r="K150" s="7">
        <v>0</v>
      </c>
      <c r="L150" s="7">
        <v>0</v>
      </c>
      <c r="M150" s="13">
        <f>K150+L150</f>
        <v>0</v>
      </c>
      <c r="N150" s="6">
        <f>(MAX(F150,J150,M150))+((100-MAX(F150,J150,M150))*((MEDIAN(F150,J150,M150)+MIN(F150,J150,M150))/200))</f>
        <v>78.75</v>
      </c>
      <c r="O150" s="5" t="str">
        <f>IF(N150&gt;=80,"Red",IF(AND(N150&gt;=55,N150&lt;80),"Orange",IF(AND(N150&gt;=25,N150&lt;55),"Green",IF(N150&lt;25,"White"))))</f>
        <v>Orange</v>
      </c>
      <c r="P150" s="7" t="s">
        <v>610</v>
      </c>
      <c r="Q150" s="8"/>
    </row>
    <row r="151" spans="1:17" ht="28" x14ac:dyDescent="0.3">
      <c r="A151" s="3">
        <v>65.2</v>
      </c>
      <c r="B151" s="4" t="s">
        <v>160</v>
      </c>
      <c r="C151" s="7">
        <v>0</v>
      </c>
      <c r="D151" s="5">
        <v>15</v>
      </c>
      <c r="E151" s="5">
        <v>15</v>
      </c>
      <c r="F151" s="13">
        <f>C151+D151+E151</f>
        <v>30</v>
      </c>
      <c r="G151" s="7">
        <v>25</v>
      </c>
      <c r="H151" s="5">
        <v>25</v>
      </c>
      <c r="I151" s="5">
        <v>10</v>
      </c>
      <c r="J151" s="13">
        <f>G151+H151+I151</f>
        <v>60</v>
      </c>
      <c r="K151" s="7">
        <v>0</v>
      </c>
      <c r="L151" s="7">
        <v>0</v>
      </c>
      <c r="M151" s="13">
        <f>K151+L151</f>
        <v>0</v>
      </c>
      <c r="N151" s="6">
        <f>(MAX(F151,J151,M151))+((100-MAX(F151,J151,M151))*((MEDIAN(F151,J151,M151)+MIN(F151,J151,M151))/200))</f>
        <v>66</v>
      </c>
      <c r="O151" s="5" t="str">
        <f>IF(N151&gt;=80,"Red",IF(AND(N151&gt;=55,N151&lt;80),"Orange",IF(AND(N151&gt;=25,N151&lt;55),"Green",IF(N151&lt;25,"White"))))</f>
        <v>Orange</v>
      </c>
      <c r="P151" s="7" t="s">
        <v>610</v>
      </c>
      <c r="Q151" s="8"/>
    </row>
    <row r="152" spans="1:17" ht="28" x14ac:dyDescent="0.3">
      <c r="A152" s="3">
        <v>66</v>
      </c>
      <c r="B152" s="4" t="s">
        <v>394</v>
      </c>
      <c r="C152" s="5">
        <v>20</v>
      </c>
      <c r="D152" s="5">
        <v>25</v>
      </c>
      <c r="E152" s="5">
        <v>15</v>
      </c>
      <c r="F152" s="14">
        <f>C152+D152+E152</f>
        <v>60</v>
      </c>
      <c r="G152" s="7">
        <v>25</v>
      </c>
      <c r="H152" s="5">
        <v>0</v>
      </c>
      <c r="I152" s="5">
        <v>25</v>
      </c>
      <c r="J152" s="13">
        <f>G152+H152+I152</f>
        <v>50</v>
      </c>
      <c r="K152" s="2">
        <v>30</v>
      </c>
      <c r="L152" s="7">
        <v>10</v>
      </c>
      <c r="M152" s="13">
        <f>K152+L152</f>
        <v>40</v>
      </c>
      <c r="N152" s="6">
        <f>(MAX(F152,J152,M152))+((100-MAX(F152,J152,M152))*((MEDIAN(F152,J152,M152)+MIN(F152,J152,M152))/200))</f>
        <v>78</v>
      </c>
      <c r="O152" s="5" t="str">
        <f>IF(N152&gt;=80,"Red",IF(AND(N152&gt;=55,N152&lt;80),"Orange",IF(AND(N152&gt;=25,N152&lt;55),"Green",IF(N152&lt;25,"White"))))</f>
        <v>Orange</v>
      </c>
      <c r="P152" s="7" t="s">
        <v>610</v>
      </c>
      <c r="Q152" s="8"/>
    </row>
    <row r="153" spans="1:17" ht="28" x14ac:dyDescent="0.3">
      <c r="A153" s="3">
        <v>67</v>
      </c>
      <c r="B153" s="4" t="s">
        <v>198</v>
      </c>
      <c r="C153" s="5"/>
      <c r="D153" s="5"/>
      <c r="E153" s="5"/>
      <c r="F153" s="14"/>
      <c r="G153" s="5"/>
      <c r="H153" s="5"/>
      <c r="I153" s="5"/>
      <c r="J153" s="14"/>
      <c r="K153" s="5"/>
      <c r="L153" s="5"/>
      <c r="M153" s="14"/>
      <c r="N153" s="6"/>
      <c r="O153" s="5"/>
      <c r="P153" s="7" t="s">
        <v>610</v>
      </c>
      <c r="Q153" s="8"/>
    </row>
    <row r="154" spans="1:17" ht="84" x14ac:dyDescent="0.3">
      <c r="A154" s="3">
        <v>67.099999999999994</v>
      </c>
      <c r="B154" s="4" t="s">
        <v>499</v>
      </c>
      <c r="C154" s="5">
        <v>25</v>
      </c>
      <c r="D154" s="5">
        <v>25</v>
      </c>
      <c r="E154" s="5">
        <v>25</v>
      </c>
      <c r="F154" s="14">
        <f>C154+D154+E154</f>
        <v>75</v>
      </c>
      <c r="G154" s="5">
        <v>25</v>
      </c>
      <c r="H154" s="5">
        <v>20</v>
      </c>
      <c r="I154" s="5">
        <v>15</v>
      </c>
      <c r="J154" s="14">
        <f>G154+H154+I154</f>
        <v>60</v>
      </c>
      <c r="K154" s="5">
        <v>0</v>
      </c>
      <c r="L154" s="5">
        <v>0</v>
      </c>
      <c r="M154" s="14">
        <f>K154+L154</f>
        <v>0</v>
      </c>
      <c r="N154" s="6">
        <f>(MAX(F154,J154,M154))+((100-MAX(F154,J154,M154))*((MEDIAN(F154,J154,M154)+MIN(F154,J154,M154))/200))</f>
        <v>82.5</v>
      </c>
      <c r="O154" s="16" t="s">
        <v>502</v>
      </c>
      <c r="P154" s="7" t="s">
        <v>610</v>
      </c>
      <c r="Q154" s="8"/>
    </row>
    <row r="155" spans="1:17" ht="84" x14ac:dyDescent="0.3">
      <c r="A155" s="3">
        <v>67.2</v>
      </c>
      <c r="B155" s="4" t="s">
        <v>500</v>
      </c>
      <c r="C155" s="5">
        <v>25</v>
      </c>
      <c r="D155" s="5">
        <v>25</v>
      </c>
      <c r="E155" s="5">
        <v>20</v>
      </c>
      <c r="F155" s="14">
        <f>C155+D155+E155</f>
        <v>70</v>
      </c>
      <c r="G155" s="5">
        <v>25</v>
      </c>
      <c r="H155" s="5">
        <v>20</v>
      </c>
      <c r="I155" s="5">
        <v>15</v>
      </c>
      <c r="J155" s="14">
        <f>G155+H155+I155</f>
        <v>60</v>
      </c>
      <c r="K155" s="5">
        <v>0</v>
      </c>
      <c r="L155" s="5">
        <v>0</v>
      </c>
      <c r="M155" s="14">
        <f>K155+L155</f>
        <v>0</v>
      </c>
      <c r="N155" s="6">
        <f>(MAX(F155,J155,M155))+((100-MAX(F155,J155,M155))*((MEDIAN(F155,J155,M155)+MIN(F155,J155,M155))/200))</f>
        <v>79</v>
      </c>
      <c r="O155" s="16" t="s">
        <v>502</v>
      </c>
      <c r="P155" s="7" t="s">
        <v>610</v>
      </c>
      <c r="Q155" s="8"/>
    </row>
    <row r="156" spans="1:17" ht="140" x14ac:dyDescent="0.3">
      <c r="A156" s="3">
        <v>67.3</v>
      </c>
      <c r="B156" s="4" t="s">
        <v>501</v>
      </c>
      <c r="C156" s="5">
        <v>0</v>
      </c>
      <c r="D156" s="5">
        <v>0</v>
      </c>
      <c r="E156" s="5">
        <v>0</v>
      </c>
      <c r="F156" s="14">
        <f>C156+D156+E156</f>
        <v>0</v>
      </c>
      <c r="G156" s="5">
        <v>25</v>
      </c>
      <c r="H156" s="5">
        <v>20</v>
      </c>
      <c r="I156" s="5">
        <v>15</v>
      </c>
      <c r="J156" s="14">
        <f>G156+H156+I156</f>
        <v>60</v>
      </c>
      <c r="K156" s="5">
        <v>0</v>
      </c>
      <c r="L156" s="5">
        <v>0</v>
      </c>
      <c r="M156" s="14">
        <f>K156+L156</f>
        <v>0</v>
      </c>
      <c r="N156" s="6">
        <f>(MAX(F156,J156,M156))+((100-MAX(F156,J156,M156))*((MEDIAN(F156,J156,M156)+MIN(F156,J156,M156))/200))</f>
        <v>60</v>
      </c>
      <c r="O156" s="16" t="s">
        <v>502</v>
      </c>
      <c r="P156" s="7" t="s">
        <v>610</v>
      </c>
      <c r="Q156" s="8"/>
    </row>
    <row r="157" spans="1:17" ht="140" x14ac:dyDescent="0.3">
      <c r="A157" s="3">
        <v>67.400000000000006</v>
      </c>
      <c r="B157" s="4" t="s">
        <v>503</v>
      </c>
      <c r="C157" s="5">
        <v>0</v>
      </c>
      <c r="D157" s="5">
        <v>0</v>
      </c>
      <c r="E157" s="5">
        <v>0</v>
      </c>
      <c r="F157" s="14">
        <f>C157+D157+E157</f>
        <v>0</v>
      </c>
      <c r="G157" s="5">
        <v>0</v>
      </c>
      <c r="H157" s="5">
        <v>20</v>
      </c>
      <c r="I157" s="5">
        <v>0</v>
      </c>
      <c r="J157" s="14">
        <f>G157+H157+I157</f>
        <v>20</v>
      </c>
      <c r="K157" s="5">
        <v>0</v>
      </c>
      <c r="L157" s="5">
        <v>0</v>
      </c>
      <c r="M157" s="14">
        <f>K157+L157</f>
        <v>0</v>
      </c>
      <c r="N157" s="6">
        <f>(MAX(F157,J157,M157))+((100-MAX(F157,J157,M157))*((MEDIAN(F157,J157,M157)+MIN(F157,J157,M157))/200))</f>
        <v>20</v>
      </c>
      <c r="O157" s="5" t="str">
        <f>IF(N157&gt;=80,"Red",IF(AND(N157&gt;=55,N157&lt;80),"Orange",IF(AND(N157&gt;=25,N157&lt;55),"Green",IF(N157&lt;25,"White"))))</f>
        <v>White</v>
      </c>
      <c r="P157" s="7" t="s">
        <v>610</v>
      </c>
      <c r="Q157" s="8"/>
    </row>
    <row r="158" spans="1:17" ht="28" x14ac:dyDescent="0.3">
      <c r="A158" s="3">
        <v>67.5</v>
      </c>
      <c r="B158" s="4" t="s">
        <v>504</v>
      </c>
      <c r="C158" s="5">
        <v>25</v>
      </c>
      <c r="D158" s="5">
        <v>25</v>
      </c>
      <c r="E158" s="5">
        <v>25</v>
      </c>
      <c r="F158" s="14">
        <f>C158+D158+E158</f>
        <v>75</v>
      </c>
      <c r="G158" s="5">
        <v>25</v>
      </c>
      <c r="H158" s="5">
        <v>20</v>
      </c>
      <c r="I158" s="5">
        <v>15</v>
      </c>
      <c r="J158" s="14">
        <f>G158+H158+I158</f>
        <v>60</v>
      </c>
      <c r="K158" s="5">
        <v>0</v>
      </c>
      <c r="L158" s="5">
        <v>0</v>
      </c>
      <c r="M158" s="14">
        <f>K158+L158</f>
        <v>0</v>
      </c>
      <c r="N158" s="6">
        <f>(MAX(F158,J158,M158))+((100-MAX(F158,J158,M158))*((MEDIAN(F158,J158,M158)+MIN(F158,J158,M158))/200))</f>
        <v>82.5</v>
      </c>
      <c r="O158" s="5" t="str">
        <f>IF(N158&gt;=80,"Red",IF(AND(N158&gt;=55,N158&lt;80),"Orange",IF(AND(N158&gt;=25,N158&lt;55),"Green",IF(N158&lt;25,"White"))))</f>
        <v>Red</v>
      </c>
      <c r="P158" s="7" t="s">
        <v>610</v>
      </c>
      <c r="Q158" s="8"/>
    </row>
    <row r="159" spans="1:17" ht="42" x14ac:dyDescent="0.3">
      <c r="A159" s="3">
        <v>68</v>
      </c>
      <c r="B159" s="4" t="s">
        <v>498</v>
      </c>
      <c r="C159" s="5"/>
      <c r="D159" s="5"/>
      <c r="E159" s="5"/>
      <c r="F159" s="14"/>
      <c r="G159" s="5"/>
      <c r="H159" s="5"/>
      <c r="I159" s="5"/>
      <c r="J159" s="14"/>
      <c r="K159" s="5"/>
      <c r="L159" s="5"/>
      <c r="M159" s="14"/>
      <c r="N159" s="6"/>
      <c r="O159" s="5"/>
      <c r="P159" s="7" t="s">
        <v>610</v>
      </c>
      <c r="Q159" s="8"/>
    </row>
    <row r="160" spans="1:17" ht="126" x14ac:dyDescent="0.3">
      <c r="A160" s="3">
        <v>68.099999999999994</v>
      </c>
      <c r="B160" s="4" t="s">
        <v>491</v>
      </c>
      <c r="C160" s="5">
        <v>20</v>
      </c>
      <c r="D160" s="5">
        <v>25</v>
      </c>
      <c r="E160" s="5">
        <v>20</v>
      </c>
      <c r="F160" s="14">
        <f t="shared" ref="F160:F172" si="35">C160+D160+E160</f>
        <v>65</v>
      </c>
      <c r="G160" s="5">
        <v>20</v>
      </c>
      <c r="H160" s="5">
        <v>25</v>
      </c>
      <c r="I160" s="5">
        <v>25</v>
      </c>
      <c r="J160" s="14">
        <f t="shared" ref="J160:J172" si="36">G160+H160+I160</f>
        <v>70</v>
      </c>
      <c r="K160" s="5">
        <v>30</v>
      </c>
      <c r="L160" s="5">
        <v>20</v>
      </c>
      <c r="M160" s="14">
        <f t="shared" ref="M160:M172" si="37">K160+L160</f>
        <v>50</v>
      </c>
      <c r="N160" s="6">
        <f t="shared" ref="N160:N172" si="38">(MAX(F160,J160,M160))+((100-MAX(F160,J160,M160))*((MEDIAN(F160,J160,M160)+MIN(F160,J160,M160))/200))</f>
        <v>87.25</v>
      </c>
      <c r="O160" s="5" t="str">
        <f t="shared" ref="O160:O172" si="39">IF(N160&gt;=80,"Red",IF(AND(N160&gt;=55,N160&lt;80),"Orange",IF(AND(N160&gt;=25,N160&lt;55),"Green",IF(N160&lt;25,"White"))))</f>
        <v>Red</v>
      </c>
      <c r="P160" s="7" t="s">
        <v>610</v>
      </c>
      <c r="Q160" s="8" t="s">
        <v>555</v>
      </c>
    </row>
    <row r="161" spans="1:17" ht="154" x14ac:dyDescent="0.3">
      <c r="A161" s="3">
        <v>68.2</v>
      </c>
      <c r="B161" s="4" t="s">
        <v>492</v>
      </c>
      <c r="C161" s="5">
        <v>10</v>
      </c>
      <c r="D161" s="5">
        <v>25</v>
      </c>
      <c r="E161" s="5">
        <v>35</v>
      </c>
      <c r="F161" s="14">
        <f t="shared" si="35"/>
        <v>70</v>
      </c>
      <c r="G161" s="5">
        <v>0</v>
      </c>
      <c r="H161" s="5">
        <v>20</v>
      </c>
      <c r="I161" s="5">
        <v>0</v>
      </c>
      <c r="J161" s="14">
        <f t="shared" si="36"/>
        <v>20</v>
      </c>
      <c r="K161" s="5">
        <v>30</v>
      </c>
      <c r="L161" s="5">
        <v>20</v>
      </c>
      <c r="M161" s="14">
        <f t="shared" si="37"/>
        <v>50</v>
      </c>
      <c r="N161" s="6">
        <f t="shared" si="38"/>
        <v>80.5</v>
      </c>
      <c r="O161" s="5" t="str">
        <f t="shared" si="39"/>
        <v>Red</v>
      </c>
      <c r="P161" s="7" t="s">
        <v>610</v>
      </c>
      <c r="Q161" s="8" t="s">
        <v>556</v>
      </c>
    </row>
    <row r="162" spans="1:17" ht="56" x14ac:dyDescent="0.3">
      <c r="A162" s="3">
        <v>68.3</v>
      </c>
      <c r="B162" s="4" t="s">
        <v>493</v>
      </c>
      <c r="C162" s="5">
        <v>10</v>
      </c>
      <c r="D162" s="5">
        <v>25</v>
      </c>
      <c r="E162" s="5">
        <v>20</v>
      </c>
      <c r="F162" s="14">
        <f t="shared" si="35"/>
        <v>55</v>
      </c>
      <c r="G162" s="5">
        <v>0</v>
      </c>
      <c r="H162" s="5">
        <v>20</v>
      </c>
      <c r="I162" s="5">
        <v>0</v>
      </c>
      <c r="J162" s="14">
        <f t="shared" si="36"/>
        <v>20</v>
      </c>
      <c r="K162" s="5">
        <v>30</v>
      </c>
      <c r="L162" s="5">
        <v>10</v>
      </c>
      <c r="M162" s="14">
        <f t="shared" si="37"/>
        <v>40</v>
      </c>
      <c r="N162" s="6">
        <f t="shared" si="38"/>
        <v>68.5</v>
      </c>
      <c r="O162" s="5" t="str">
        <f t="shared" si="39"/>
        <v>Orange</v>
      </c>
      <c r="P162" s="7" t="s">
        <v>610</v>
      </c>
      <c r="Q162" s="8"/>
    </row>
    <row r="163" spans="1:17" ht="126" x14ac:dyDescent="0.3">
      <c r="A163" s="3">
        <v>68.400000000000006</v>
      </c>
      <c r="B163" s="4" t="s">
        <v>494</v>
      </c>
      <c r="C163" s="5">
        <v>20</v>
      </c>
      <c r="D163" s="5">
        <v>25</v>
      </c>
      <c r="E163" s="5">
        <v>20</v>
      </c>
      <c r="F163" s="14">
        <f t="shared" si="35"/>
        <v>65</v>
      </c>
      <c r="G163" s="5">
        <v>20</v>
      </c>
      <c r="H163" s="5">
        <v>25</v>
      </c>
      <c r="I163" s="5">
        <v>25</v>
      </c>
      <c r="J163" s="14">
        <f t="shared" si="36"/>
        <v>70</v>
      </c>
      <c r="K163" s="5">
        <v>30</v>
      </c>
      <c r="L163" s="5">
        <v>10</v>
      </c>
      <c r="M163" s="14">
        <f t="shared" si="37"/>
        <v>40</v>
      </c>
      <c r="N163" s="6">
        <f t="shared" si="38"/>
        <v>85.75</v>
      </c>
      <c r="O163" s="5" t="str">
        <f t="shared" si="39"/>
        <v>Red</v>
      </c>
      <c r="P163" s="7" t="s">
        <v>610</v>
      </c>
      <c r="Q163" s="8" t="s">
        <v>555</v>
      </c>
    </row>
    <row r="164" spans="1:17" ht="42" x14ac:dyDescent="0.3">
      <c r="A164" s="3">
        <v>68.5</v>
      </c>
      <c r="B164" s="4" t="s">
        <v>495</v>
      </c>
      <c r="C164" s="5">
        <v>0</v>
      </c>
      <c r="D164" s="5">
        <v>20</v>
      </c>
      <c r="E164" s="5">
        <v>35</v>
      </c>
      <c r="F164" s="14">
        <f t="shared" si="35"/>
        <v>55</v>
      </c>
      <c r="G164" s="5">
        <v>0</v>
      </c>
      <c r="H164" s="5">
        <v>0</v>
      </c>
      <c r="I164" s="5">
        <v>0</v>
      </c>
      <c r="J164" s="14">
        <f t="shared" si="36"/>
        <v>0</v>
      </c>
      <c r="K164" s="5">
        <v>30</v>
      </c>
      <c r="L164" s="5">
        <v>10</v>
      </c>
      <c r="M164" s="14">
        <f t="shared" si="37"/>
        <v>40</v>
      </c>
      <c r="N164" s="6">
        <f t="shared" si="38"/>
        <v>64</v>
      </c>
      <c r="O164" s="5" t="str">
        <f t="shared" si="39"/>
        <v>Orange</v>
      </c>
      <c r="P164" s="7" t="s">
        <v>610</v>
      </c>
      <c r="Q164" s="12"/>
    </row>
    <row r="165" spans="1:17" ht="168" x14ac:dyDescent="0.3">
      <c r="A165" s="3">
        <v>68.599999999999994</v>
      </c>
      <c r="B165" s="4" t="s">
        <v>496</v>
      </c>
      <c r="C165" s="5">
        <v>0</v>
      </c>
      <c r="D165" s="5">
        <v>20</v>
      </c>
      <c r="E165" s="5">
        <v>20</v>
      </c>
      <c r="F165" s="14">
        <f t="shared" si="35"/>
        <v>40</v>
      </c>
      <c r="G165" s="5">
        <v>0</v>
      </c>
      <c r="H165" s="5">
        <v>0</v>
      </c>
      <c r="I165" s="5">
        <v>0</v>
      </c>
      <c r="J165" s="14">
        <f t="shared" si="36"/>
        <v>0</v>
      </c>
      <c r="K165" s="5">
        <v>30</v>
      </c>
      <c r="L165" s="5">
        <v>10</v>
      </c>
      <c r="M165" s="14">
        <f t="shared" si="37"/>
        <v>40</v>
      </c>
      <c r="N165" s="6">
        <f t="shared" si="38"/>
        <v>52</v>
      </c>
      <c r="O165" s="5" t="str">
        <f t="shared" si="39"/>
        <v>Green</v>
      </c>
      <c r="P165" s="7" t="s">
        <v>610</v>
      </c>
      <c r="Q165" s="8" t="s">
        <v>557</v>
      </c>
    </row>
    <row r="166" spans="1:17" ht="126" x14ac:dyDescent="0.3">
      <c r="A166" s="3">
        <v>68.7</v>
      </c>
      <c r="B166" s="4" t="s">
        <v>497</v>
      </c>
      <c r="C166" s="5">
        <v>0</v>
      </c>
      <c r="D166" s="5">
        <v>0</v>
      </c>
      <c r="E166" s="5">
        <v>0</v>
      </c>
      <c r="F166" s="14">
        <f t="shared" si="35"/>
        <v>0</v>
      </c>
      <c r="G166" s="5">
        <v>0</v>
      </c>
      <c r="H166" s="5">
        <v>0</v>
      </c>
      <c r="I166" s="5">
        <v>0</v>
      </c>
      <c r="J166" s="14">
        <f t="shared" si="36"/>
        <v>0</v>
      </c>
      <c r="K166" s="5">
        <v>0</v>
      </c>
      <c r="L166" s="5">
        <v>10</v>
      </c>
      <c r="M166" s="14">
        <f t="shared" si="37"/>
        <v>10</v>
      </c>
      <c r="N166" s="6">
        <f t="shared" si="38"/>
        <v>10</v>
      </c>
      <c r="O166" s="5" t="str">
        <f t="shared" si="39"/>
        <v>White</v>
      </c>
      <c r="P166" s="7" t="s">
        <v>610</v>
      </c>
      <c r="Q166" s="8" t="s">
        <v>558</v>
      </c>
    </row>
    <row r="167" spans="1:17" ht="42" x14ac:dyDescent="0.3">
      <c r="A167" s="3">
        <v>69</v>
      </c>
      <c r="B167" s="4" t="s">
        <v>217</v>
      </c>
      <c r="C167" s="5">
        <v>0</v>
      </c>
      <c r="D167" s="5">
        <v>0</v>
      </c>
      <c r="E167" s="5">
        <v>0</v>
      </c>
      <c r="F167" s="14">
        <f t="shared" si="35"/>
        <v>0</v>
      </c>
      <c r="G167" s="7">
        <v>25</v>
      </c>
      <c r="H167" s="5">
        <v>0</v>
      </c>
      <c r="I167" s="5">
        <v>10</v>
      </c>
      <c r="J167" s="13">
        <f t="shared" si="36"/>
        <v>35</v>
      </c>
      <c r="K167" s="7">
        <v>0</v>
      </c>
      <c r="L167" s="7">
        <v>0</v>
      </c>
      <c r="M167" s="13">
        <f t="shared" si="37"/>
        <v>0</v>
      </c>
      <c r="N167" s="6">
        <f t="shared" si="38"/>
        <v>35</v>
      </c>
      <c r="O167" s="5" t="str">
        <f t="shared" si="39"/>
        <v>Green</v>
      </c>
      <c r="P167" s="7" t="s">
        <v>610</v>
      </c>
      <c r="Q167" s="8"/>
    </row>
    <row r="168" spans="1:17" ht="70" x14ac:dyDescent="0.3">
      <c r="A168" s="3">
        <v>70</v>
      </c>
      <c r="B168" s="4" t="s">
        <v>218</v>
      </c>
      <c r="C168" s="5">
        <v>0</v>
      </c>
      <c r="D168" s="5">
        <v>0</v>
      </c>
      <c r="E168" s="5">
        <v>0</v>
      </c>
      <c r="F168" s="14">
        <f t="shared" si="35"/>
        <v>0</v>
      </c>
      <c r="G168" s="7">
        <v>0</v>
      </c>
      <c r="H168" s="5">
        <v>25</v>
      </c>
      <c r="I168" s="5">
        <v>0</v>
      </c>
      <c r="J168" s="13">
        <f t="shared" si="36"/>
        <v>25</v>
      </c>
      <c r="K168" s="7">
        <v>0</v>
      </c>
      <c r="L168" s="7">
        <v>0</v>
      </c>
      <c r="M168" s="13">
        <f t="shared" si="37"/>
        <v>0</v>
      </c>
      <c r="N168" s="6">
        <f t="shared" si="38"/>
        <v>25</v>
      </c>
      <c r="O168" s="5" t="str">
        <f t="shared" si="39"/>
        <v>Green</v>
      </c>
      <c r="P168" s="7" t="s">
        <v>610</v>
      </c>
      <c r="Q168" s="8"/>
    </row>
    <row r="169" spans="1:17" ht="70" x14ac:dyDescent="0.3">
      <c r="A169" s="3">
        <v>71</v>
      </c>
      <c r="B169" s="4" t="s">
        <v>250</v>
      </c>
      <c r="C169" s="5">
        <v>0</v>
      </c>
      <c r="D169" s="5">
        <v>0</v>
      </c>
      <c r="E169" s="5">
        <v>0</v>
      </c>
      <c r="F169" s="14">
        <f t="shared" si="35"/>
        <v>0</v>
      </c>
      <c r="G169" s="5">
        <v>0</v>
      </c>
      <c r="H169" s="5">
        <v>0</v>
      </c>
      <c r="I169" s="5">
        <v>0</v>
      </c>
      <c r="J169" s="14">
        <f t="shared" si="36"/>
        <v>0</v>
      </c>
      <c r="K169" s="5">
        <v>0</v>
      </c>
      <c r="L169" s="5">
        <v>0</v>
      </c>
      <c r="M169" s="14">
        <f t="shared" si="37"/>
        <v>0</v>
      </c>
      <c r="N169" s="6">
        <f t="shared" si="38"/>
        <v>0</v>
      </c>
      <c r="O169" s="5" t="str">
        <f t="shared" si="39"/>
        <v>White</v>
      </c>
      <c r="P169" s="7" t="s">
        <v>610</v>
      </c>
      <c r="Q169" s="8"/>
    </row>
    <row r="170" spans="1:17" ht="28" x14ac:dyDescent="0.3">
      <c r="A170" s="3">
        <v>72</v>
      </c>
      <c r="B170" s="4" t="s">
        <v>261</v>
      </c>
      <c r="C170" s="5">
        <v>0</v>
      </c>
      <c r="D170" s="5">
        <v>0</v>
      </c>
      <c r="E170" s="5">
        <v>0</v>
      </c>
      <c r="F170" s="14">
        <f t="shared" si="35"/>
        <v>0</v>
      </c>
      <c r="G170" s="5">
        <v>0</v>
      </c>
      <c r="H170" s="5">
        <v>0</v>
      </c>
      <c r="I170" s="5">
        <v>0</v>
      </c>
      <c r="J170" s="14">
        <f t="shared" si="36"/>
        <v>0</v>
      </c>
      <c r="K170" s="5">
        <v>0</v>
      </c>
      <c r="L170" s="5">
        <v>0</v>
      </c>
      <c r="M170" s="14">
        <f t="shared" si="37"/>
        <v>0</v>
      </c>
      <c r="N170" s="6">
        <f t="shared" si="38"/>
        <v>0</v>
      </c>
      <c r="O170" s="5" t="str">
        <f t="shared" si="39"/>
        <v>White</v>
      </c>
      <c r="P170" s="7" t="s">
        <v>610</v>
      </c>
      <c r="Q170" s="8"/>
    </row>
    <row r="171" spans="1:17" ht="28" x14ac:dyDescent="0.3">
      <c r="A171" s="3">
        <v>73</v>
      </c>
      <c r="B171" s="4" t="s">
        <v>263</v>
      </c>
      <c r="C171" s="5">
        <v>0</v>
      </c>
      <c r="D171" s="5">
        <v>0</v>
      </c>
      <c r="E171" s="5">
        <v>0</v>
      </c>
      <c r="F171" s="14">
        <f t="shared" si="35"/>
        <v>0</v>
      </c>
      <c r="G171" s="5">
        <v>0</v>
      </c>
      <c r="H171" s="5">
        <v>0</v>
      </c>
      <c r="I171" s="5">
        <v>0</v>
      </c>
      <c r="J171" s="14">
        <f t="shared" si="36"/>
        <v>0</v>
      </c>
      <c r="K171" s="5">
        <v>0</v>
      </c>
      <c r="L171" s="5">
        <v>0</v>
      </c>
      <c r="M171" s="14">
        <f t="shared" si="37"/>
        <v>0</v>
      </c>
      <c r="N171" s="6">
        <f t="shared" si="38"/>
        <v>0</v>
      </c>
      <c r="O171" s="5" t="str">
        <f t="shared" si="39"/>
        <v>White</v>
      </c>
      <c r="P171" s="7" t="s">
        <v>610</v>
      </c>
      <c r="Q171" s="8"/>
    </row>
    <row r="172" spans="1:17" ht="28" x14ac:dyDescent="0.3">
      <c r="A172" s="3">
        <v>74</v>
      </c>
      <c r="B172" s="4" t="s">
        <v>268</v>
      </c>
      <c r="C172" s="5">
        <v>0</v>
      </c>
      <c r="D172" s="5">
        <v>0</v>
      </c>
      <c r="E172" s="5">
        <v>0</v>
      </c>
      <c r="F172" s="14">
        <f t="shared" si="35"/>
        <v>0</v>
      </c>
      <c r="G172" s="5">
        <v>0</v>
      </c>
      <c r="H172" s="5">
        <v>0</v>
      </c>
      <c r="I172" s="5">
        <v>0</v>
      </c>
      <c r="J172" s="14">
        <f t="shared" si="36"/>
        <v>0</v>
      </c>
      <c r="K172" s="5">
        <v>10</v>
      </c>
      <c r="L172" s="5">
        <v>10</v>
      </c>
      <c r="M172" s="14">
        <f t="shared" si="37"/>
        <v>20</v>
      </c>
      <c r="N172" s="6">
        <f t="shared" si="38"/>
        <v>20</v>
      </c>
      <c r="O172" s="5" t="str">
        <f t="shared" si="39"/>
        <v>White</v>
      </c>
      <c r="P172" s="7" t="s">
        <v>610</v>
      </c>
      <c r="Q172" s="8" t="s">
        <v>567</v>
      </c>
    </row>
    <row r="173" spans="1:17" ht="28" x14ac:dyDescent="0.3">
      <c r="A173" s="3">
        <v>75</v>
      </c>
      <c r="B173" s="4" t="s">
        <v>151</v>
      </c>
      <c r="C173" s="7"/>
      <c r="D173" s="5"/>
      <c r="E173" s="5"/>
      <c r="F173" s="13"/>
      <c r="G173" s="7"/>
      <c r="H173" s="5"/>
      <c r="I173" s="5"/>
      <c r="J173" s="13"/>
      <c r="K173" s="7"/>
      <c r="L173" s="7"/>
      <c r="M173" s="13"/>
      <c r="N173" s="6"/>
      <c r="O173" s="5"/>
      <c r="P173" s="7" t="s">
        <v>610</v>
      </c>
      <c r="Q173" s="8"/>
    </row>
    <row r="174" spans="1:17" ht="28" x14ac:dyDescent="0.3">
      <c r="A174" s="3">
        <v>75.099999999999994</v>
      </c>
      <c r="B174" s="4" t="s">
        <v>152</v>
      </c>
      <c r="C174" s="7">
        <v>0</v>
      </c>
      <c r="D174" s="5">
        <v>0</v>
      </c>
      <c r="E174" s="5">
        <v>0</v>
      </c>
      <c r="F174" s="13">
        <f t="shared" ref="F174:F180" si="40">C174+D174+E174</f>
        <v>0</v>
      </c>
      <c r="G174" s="7">
        <v>25</v>
      </c>
      <c r="H174" s="5">
        <v>25</v>
      </c>
      <c r="I174" s="5">
        <v>25</v>
      </c>
      <c r="J174" s="13">
        <f t="shared" ref="J174:J180" si="41">G174+H174+I174</f>
        <v>75</v>
      </c>
      <c r="K174" s="7">
        <v>0</v>
      </c>
      <c r="L174" s="7">
        <v>0</v>
      </c>
      <c r="M174" s="13">
        <f t="shared" ref="M174:M180" si="42">K174+L174</f>
        <v>0</v>
      </c>
      <c r="N174" s="6">
        <f t="shared" ref="N174:N180" si="43">(MAX(F174,J174,M174))+((100-MAX(F174,J174,M174))*((MEDIAN(F174,J174,M174)+MIN(F174,J174,M174))/200))</f>
        <v>75</v>
      </c>
      <c r="O174" s="5" t="str">
        <f t="shared" ref="O174:O180" si="44">IF(N174&gt;=80,"Red",IF(AND(N174&gt;=55,N174&lt;80),"Orange",IF(AND(N174&gt;=25,N174&lt;55),"Green",IF(N174&lt;25,"White"))))</f>
        <v>Orange</v>
      </c>
      <c r="P174" s="7" t="s">
        <v>610</v>
      </c>
      <c r="Q174" s="8"/>
    </row>
    <row r="175" spans="1:17" ht="28" x14ac:dyDescent="0.3">
      <c r="A175" s="3">
        <v>75.2</v>
      </c>
      <c r="B175" s="4" t="s">
        <v>153</v>
      </c>
      <c r="C175" s="7">
        <v>0</v>
      </c>
      <c r="D175" s="5">
        <v>0</v>
      </c>
      <c r="E175" s="5">
        <v>0</v>
      </c>
      <c r="F175" s="13">
        <f t="shared" si="40"/>
        <v>0</v>
      </c>
      <c r="G175" s="7">
        <v>25</v>
      </c>
      <c r="H175" s="5">
        <v>25</v>
      </c>
      <c r="I175" s="5">
        <v>10</v>
      </c>
      <c r="J175" s="13">
        <f t="shared" si="41"/>
        <v>60</v>
      </c>
      <c r="K175" s="7">
        <v>0</v>
      </c>
      <c r="L175" s="7">
        <v>0</v>
      </c>
      <c r="M175" s="13">
        <f t="shared" si="42"/>
        <v>0</v>
      </c>
      <c r="N175" s="6">
        <f t="shared" si="43"/>
        <v>60</v>
      </c>
      <c r="O175" s="5" t="str">
        <f t="shared" si="44"/>
        <v>Orange</v>
      </c>
      <c r="P175" s="7" t="s">
        <v>610</v>
      </c>
      <c r="Q175" s="8"/>
    </row>
    <row r="176" spans="1:17" ht="42" x14ac:dyDescent="0.3">
      <c r="A176" s="3">
        <v>76</v>
      </c>
      <c r="B176" s="4" t="s">
        <v>554</v>
      </c>
      <c r="C176" s="5">
        <v>25</v>
      </c>
      <c r="D176" s="5">
        <v>30</v>
      </c>
      <c r="E176" s="5">
        <v>15</v>
      </c>
      <c r="F176" s="14">
        <f t="shared" si="40"/>
        <v>70</v>
      </c>
      <c r="G176" s="5">
        <v>25</v>
      </c>
      <c r="H176" s="5">
        <v>25</v>
      </c>
      <c r="I176" s="5">
        <v>15</v>
      </c>
      <c r="J176" s="14">
        <f t="shared" si="41"/>
        <v>65</v>
      </c>
      <c r="K176" s="5">
        <v>30</v>
      </c>
      <c r="L176" s="5">
        <v>20</v>
      </c>
      <c r="M176" s="14">
        <f t="shared" si="42"/>
        <v>50</v>
      </c>
      <c r="N176" s="6">
        <f t="shared" si="43"/>
        <v>87.25</v>
      </c>
      <c r="O176" s="5" t="str">
        <f t="shared" si="44"/>
        <v>Red</v>
      </c>
      <c r="P176" s="7" t="s">
        <v>610</v>
      </c>
      <c r="Q176" s="8"/>
    </row>
    <row r="177" spans="1:17" ht="28" x14ac:dyDescent="0.3">
      <c r="A177" s="3">
        <v>77</v>
      </c>
      <c r="B177" s="4" t="s">
        <v>264</v>
      </c>
      <c r="C177" s="5">
        <v>0</v>
      </c>
      <c r="D177" s="5">
        <v>0</v>
      </c>
      <c r="E177" s="5">
        <v>0</v>
      </c>
      <c r="F177" s="14">
        <f t="shared" si="40"/>
        <v>0</v>
      </c>
      <c r="G177" s="5">
        <v>0</v>
      </c>
      <c r="H177" s="5">
        <v>0</v>
      </c>
      <c r="I177" s="5">
        <v>0</v>
      </c>
      <c r="J177" s="14">
        <f t="shared" si="41"/>
        <v>0</v>
      </c>
      <c r="K177" s="5">
        <v>0</v>
      </c>
      <c r="L177" s="5">
        <v>0</v>
      </c>
      <c r="M177" s="14">
        <f t="shared" si="42"/>
        <v>0</v>
      </c>
      <c r="N177" s="6">
        <f t="shared" si="43"/>
        <v>0</v>
      </c>
      <c r="O177" s="5" t="str">
        <f t="shared" si="44"/>
        <v>White</v>
      </c>
      <c r="P177" s="7" t="s">
        <v>610</v>
      </c>
      <c r="Q177" s="8"/>
    </row>
    <row r="178" spans="1:17" ht="28" x14ac:dyDescent="0.3">
      <c r="A178" s="3">
        <v>78</v>
      </c>
      <c r="B178" s="4" t="s">
        <v>366</v>
      </c>
      <c r="C178" s="5">
        <v>25</v>
      </c>
      <c r="D178" s="5">
        <v>25</v>
      </c>
      <c r="E178" s="5">
        <v>20</v>
      </c>
      <c r="F178" s="14">
        <f t="shared" si="40"/>
        <v>70</v>
      </c>
      <c r="G178" s="7">
        <v>25</v>
      </c>
      <c r="H178" s="7">
        <v>0</v>
      </c>
      <c r="I178" s="7">
        <v>25</v>
      </c>
      <c r="J178" s="13">
        <f t="shared" si="41"/>
        <v>50</v>
      </c>
      <c r="K178" s="7">
        <v>0</v>
      </c>
      <c r="L178" s="7">
        <v>0</v>
      </c>
      <c r="M178" s="13">
        <f t="shared" si="42"/>
        <v>0</v>
      </c>
      <c r="N178" s="6">
        <f t="shared" si="43"/>
        <v>77.5</v>
      </c>
      <c r="O178" s="5" t="str">
        <f t="shared" si="44"/>
        <v>Orange</v>
      </c>
      <c r="P178" s="7" t="s">
        <v>610</v>
      </c>
      <c r="Q178" s="8"/>
    </row>
    <row r="179" spans="1:17" ht="28" x14ac:dyDescent="0.3">
      <c r="A179" s="3">
        <v>79</v>
      </c>
      <c r="B179" s="4" t="s">
        <v>167</v>
      </c>
      <c r="C179" s="7">
        <v>20</v>
      </c>
      <c r="D179" s="5">
        <v>30</v>
      </c>
      <c r="E179" s="5">
        <v>15</v>
      </c>
      <c r="F179" s="13">
        <f t="shared" si="40"/>
        <v>65</v>
      </c>
      <c r="G179" s="7">
        <v>0</v>
      </c>
      <c r="H179" s="5">
        <v>20</v>
      </c>
      <c r="I179" s="5">
        <v>10</v>
      </c>
      <c r="J179" s="13">
        <f t="shared" si="41"/>
        <v>30</v>
      </c>
      <c r="K179" s="5">
        <v>30</v>
      </c>
      <c r="L179" s="7">
        <v>10</v>
      </c>
      <c r="M179" s="13">
        <f t="shared" si="42"/>
        <v>40</v>
      </c>
      <c r="N179" s="6">
        <f t="shared" si="43"/>
        <v>77.25</v>
      </c>
      <c r="O179" s="5" t="str">
        <f t="shared" si="44"/>
        <v>Orange</v>
      </c>
      <c r="P179" s="7" t="s">
        <v>610</v>
      </c>
      <c r="Q179" s="8"/>
    </row>
    <row r="180" spans="1:17" ht="42" x14ac:dyDescent="0.3">
      <c r="A180" s="3">
        <v>80</v>
      </c>
      <c r="B180" s="4" t="s">
        <v>409</v>
      </c>
      <c r="C180" s="5">
        <v>0</v>
      </c>
      <c r="D180" s="5">
        <v>0</v>
      </c>
      <c r="E180" s="5">
        <v>0</v>
      </c>
      <c r="F180" s="14">
        <f t="shared" si="40"/>
        <v>0</v>
      </c>
      <c r="G180" s="5">
        <v>0</v>
      </c>
      <c r="H180" s="5">
        <v>0</v>
      </c>
      <c r="I180" s="5">
        <v>0</v>
      </c>
      <c r="J180" s="14">
        <f t="shared" si="41"/>
        <v>0</v>
      </c>
      <c r="K180" s="5">
        <v>0</v>
      </c>
      <c r="L180" s="5">
        <v>0</v>
      </c>
      <c r="M180" s="14">
        <f t="shared" si="42"/>
        <v>0</v>
      </c>
      <c r="N180" s="6">
        <f t="shared" si="43"/>
        <v>0</v>
      </c>
      <c r="O180" s="5" t="str">
        <f t="shared" si="44"/>
        <v>White</v>
      </c>
      <c r="P180" s="7" t="s">
        <v>610</v>
      </c>
      <c r="Q180" s="8"/>
    </row>
    <row r="181" spans="1:17" ht="28" x14ac:dyDescent="0.3">
      <c r="A181" s="3">
        <v>81</v>
      </c>
      <c r="B181" s="4" t="s">
        <v>116</v>
      </c>
      <c r="C181" s="7"/>
      <c r="D181" s="5"/>
      <c r="E181" s="5"/>
      <c r="F181" s="14"/>
      <c r="G181" s="7"/>
      <c r="H181" s="5"/>
      <c r="I181" s="5"/>
      <c r="J181" s="14"/>
      <c r="K181" s="7"/>
      <c r="L181" s="7"/>
      <c r="M181" s="14"/>
      <c r="N181" s="6"/>
      <c r="O181" s="5"/>
      <c r="P181" s="7" t="s">
        <v>610</v>
      </c>
      <c r="Q181" s="8"/>
    </row>
    <row r="182" spans="1:17" ht="28" x14ac:dyDescent="0.3">
      <c r="A182" s="3">
        <v>81.099999999999994</v>
      </c>
      <c r="B182" s="4" t="s">
        <v>338</v>
      </c>
      <c r="C182" s="7">
        <v>25</v>
      </c>
      <c r="D182" s="5">
        <v>20</v>
      </c>
      <c r="E182" s="5">
        <v>25</v>
      </c>
      <c r="F182" s="13">
        <f t="shared" ref="F182:F189" si="45">C182+D182+E182</f>
        <v>70</v>
      </c>
      <c r="G182" s="7">
        <v>25</v>
      </c>
      <c r="H182" s="5">
        <v>0</v>
      </c>
      <c r="I182" s="5">
        <v>25</v>
      </c>
      <c r="J182" s="13">
        <f t="shared" ref="J182:J189" si="46">G182+H182+I182</f>
        <v>50</v>
      </c>
      <c r="K182" s="7">
        <v>0</v>
      </c>
      <c r="L182" s="7">
        <v>0</v>
      </c>
      <c r="M182" s="13">
        <f t="shared" ref="M182:M189" si="47">K182+L182</f>
        <v>0</v>
      </c>
      <c r="N182" s="6">
        <f t="shared" ref="N182:N189" si="48">(MAX(F182,J182,M182))+((100-MAX(F182,J182,M182))*((MEDIAN(F182,J182,M182)+MIN(F182,J182,M182))/200))</f>
        <v>77.5</v>
      </c>
      <c r="O182" s="5" t="str">
        <f t="shared" ref="O182:O189" si="49">IF(N182&gt;=80,"Red",IF(AND(N182&gt;=55,N182&lt;80),"Orange",IF(AND(N182&gt;=25,N182&lt;55),"Green",IF(N182&lt;25,"White"))))</f>
        <v>Orange</v>
      </c>
      <c r="P182" s="7" t="s">
        <v>610</v>
      </c>
      <c r="Q182" s="8"/>
    </row>
    <row r="183" spans="1:17" ht="28" x14ac:dyDescent="0.3">
      <c r="A183" s="3">
        <v>81.2</v>
      </c>
      <c r="B183" s="4" t="s">
        <v>339</v>
      </c>
      <c r="C183" s="7">
        <v>20</v>
      </c>
      <c r="D183" s="5">
        <v>0</v>
      </c>
      <c r="E183" s="5">
        <v>20</v>
      </c>
      <c r="F183" s="13">
        <f t="shared" si="45"/>
        <v>40</v>
      </c>
      <c r="G183" s="7">
        <v>0</v>
      </c>
      <c r="H183" s="5">
        <v>0</v>
      </c>
      <c r="I183" s="5">
        <v>0</v>
      </c>
      <c r="J183" s="13">
        <f t="shared" si="46"/>
        <v>0</v>
      </c>
      <c r="K183" s="7">
        <v>0</v>
      </c>
      <c r="L183" s="7">
        <v>0</v>
      </c>
      <c r="M183" s="13">
        <f t="shared" si="47"/>
        <v>0</v>
      </c>
      <c r="N183" s="6">
        <f t="shared" si="48"/>
        <v>40</v>
      </c>
      <c r="O183" s="5" t="str">
        <f t="shared" si="49"/>
        <v>Green</v>
      </c>
      <c r="P183" s="7" t="s">
        <v>610</v>
      </c>
      <c r="Q183" s="8"/>
    </row>
    <row r="184" spans="1:17" ht="28" x14ac:dyDescent="0.3">
      <c r="A184" s="3">
        <v>81.3</v>
      </c>
      <c r="B184" s="4" t="s">
        <v>340</v>
      </c>
      <c r="C184" s="7">
        <v>0</v>
      </c>
      <c r="D184" s="5">
        <v>0</v>
      </c>
      <c r="E184" s="5">
        <v>0</v>
      </c>
      <c r="F184" s="13">
        <f t="shared" si="45"/>
        <v>0</v>
      </c>
      <c r="G184" s="7">
        <v>0</v>
      </c>
      <c r="H184" s="5">
        <v>0</v>
      </c>
      <c r="I184" s="5">
        <v>0</v>
      </c>
      <c r="J184" s="13">
        <f t="shared" si="46"/>
        <v>0</v>
      </c>
      <c r="K184" s="7">
        <v>0</v>
      </c>
      <c r="L184" s="7">
        <v>0</v>
      </c>
      <c r="M184" s="13">
        <f t="shared" si="47"/>
        <v>0</v>
      </c>
      <c r="N184" s="6">
        <f t="shared" si="48"/>
        <v>0</v>
      </c>
      <c r="O184" s="5" t="str">
        <f t="shared" si="49"/>
        <v>White</v>
      </c>
      <c r="P184" s="7" t="s">
        <v>610</v>
      </c>
      <c r="Q184" s="8"/>
    </row>
    <row r="185" spans="1:17" ht="28" x14ac:dyDescent="0.3">
      <c r="A185" s="3">
        <v>82</v>
      </c>
      <c r="B185" s="4" t="s">
        <v>157</v>
      </c>
      <c r="C185" s="5">
        <v>0</v>
      </c>
      <c r="D185" s="5">
        <v>0</v>
      </c>
      <c r="E185" s="5">
        <v>0</v>
      </c>
      <c r="F185" s="14">
        <f t="shared" si="45"/>
        <v>0</v>
      </c>
      <c r="G185" s="7">
        <v>25</v>
      </c>
      <c r="H185" s="5">
        <v>0</v>
      </c>
      <c r="I185" s="5">
        <v>30</v>
      </c>
      <c r="J185" s="13">
        <f t="shared" si="46"/>
        <v>55</v>
      </c>
      <c r="K185" s="7">
        <v>0</v>
      </c>
      <c r="L185" s="7">
        <v>0</v>
      </c>
      <c r="M185" s="13">
        <f t="shared" si="47"/>
        <v>0</v>
      </c>
      <c r="N185" s="6">
        <f t="shared" si="48"/>
        <v>55</v>
      </c>
      <c r="O185" s="5" t="str">
        <f t="shared" si="49"/>
        <v>Orange</v>
      </c>
      <c r="P185" s="7" t="s">
        <v>610</v>
      </c>
      <c r="Q185" s="8"/>
    </row>
    <row r="186" spans="1:17" ht="42" x14ac:dyDescent="0.3">
      <c r="A186" s="3">
        <v>83</v>
      </c>
      <c r="B186" s="4" t="s">
        <v>221</v>
      </c>
      <c r="C186" s="5">
        <v>0</v>
      </c>
      <c r="D186" s="5">
        <v>0</v>
      </c>
      <c r="E186" s="5">
        <v>0</v>
      </c>
      <c r="F186" s="14">
        <f t="shared" si="45"/>
        <v>0</v>
      </c>
      <c r="G186" s="7">
        <v>0</v>
      </c>
      <c r="H186" s="5">
        <v>20</v>
      </c>
      <c r="I186" s="5">
        <v>0</v>
      </c>
      <c r="J186" s="13">
        <f t="shared" si="46"/>
        <v>20</v>
      </c>
      <c r="K186" s="7">
        <v>0</v>
      </c>
      <c r="L186" s="7">
        <v>0</v>
      </c>
      <c r="M186" s="13">
        <f t="shared" si="47"/>
        <v>0</v>
      </c>
      <c r="N186" s="6">
        <f t="shared" si="48"/>
        <v>20</v>
      </c>
      <c r="O186" s="5" t="str">
        <f t="shared" si="49"/>
        <v>White</v>
      </c>
      <c r="P186" s="7" t="s">
        <v>610</v>
      </c>
      <c r="Q186" s="8" t="s">
        <v>562</v>
      </c>
    </row>
    <row r="187" spans="1:17" ht="28" x14ac:dyDescent="0.3">
      <c r="A187" s="3">
        <v>84</v>
      </c>
      <c r="B187" s="4" t="s">
        <v>235</v>
      </c>
      <c r="C187" s="7">
        <v>0</v>
      </c>
      <c r="D187" s="5">
        <v>20</v>
      </c>
      <c r="E187" s="5">
        <v>15</v>
      </c>
      <c r="F187" s="13">
        <f t="shared" si="45"/>
        <v>35</v>
      </c>
      <c r="G187" s="5">
        <v>0</v>
      </c>
      <c r="H187" s="5">
        <v>0</v>
      </c>
      <c r="I187" s="5">
        <v>0</v>
      </c>
      <c r="J187" s="14">
        <f t="shared" si="46"/>
        <v>0</v>
      </c>
      <c r="K187" s="5">
        <v>0</v>
      </c>
      <c r="L187" s="5">
        <v>0</v>
      </c>
      <c r="M187" s="14">
        <f t="shared" si="47"/>
        <v>0</v>
      </c>
      <c r="N187" s="6">
        <f t="shared" si="48"/>
        <v>35</v>
      </c>
      <c r="O187" s="5" t="str">
        <f t="shared" si="49"/>
        <v>Green</v>
      </c>
      <c r="P187" s="7" t="s">
        <v>610</v>
      </c>
      <c r="Q187" s="8"/>
    </row>
    <row r="188" spans="1:17" ht="28" x14ac:dyDescent="0.3">
      <c r="A188" s="3">
        <v>85</v>
      </c>
      <c r="B188" s="4" t="s">
        <v>265</v>
      </c>
      <c r="C188" s="5">
        <v>0</v>
      </c>
      <c r="D188" s="5">
        <v>0</v>
      </c>
      <c r="E188" s="5">
        <v>0</v>
      </c>
      <c r="F188" s="14">
        <f t="shared" si="45"/>
        <v>0</v>
      </c>
      <c r="G188" s="5">
        <v>0</v>
      </c>
      <c r="H188" s="5">
        <v>0</v>
      </c>
      <c r="I188" s="5">
        <v>0</v>
      </c>
      <c r="J188" s="14">
        <f t="shared" si="46"/>
        <v>0</v>
      </c>
      <c r="K188" s="5">
        <v>0</v>
      </c>
      <c r="L188" s="5">
        <v>0</v>
      </c>
      <c r="M188" s="14">
        <f t="shared" si="47"/>
        <v>0</v>
      </c>
      <c r="N188" s="6">
        <f t="shared" si="48"/>
        <v>0</v>
      </c>
      <c r="O188" s="5" t="str">
        <f t="shared" si="49"/>
        <v>White</v>
      </c>
      <c r="P188" s="7" t="s">
        <v>610</v>
      </c>
      <c r="Q188" s="8"/>
    </row>
    <row r="189" spans="1:17" ht="154" x14ac:dyDescent="0.3">
      <c r="A189" s="3">
        <v>86</v>
      </c>
      <c r="B189" s="4" t="s">
        <v>322</v>
      </c>
      <c r="C189" s="5">
        <v>0</v>
      </c>
      <c r="D189" s="5">
        <v>0</v>
      </c>
      <c r="E189" s="5">
        <v>0</v>
      </c>
      <c r="F189" s="14">
        <f t="shared" si="45"/>
        <v>0</v>
      </c>
      <c r="G189" s="7">
        <v>25</v>
      </c>
      <c r="H189" s="7">
        <v>0</v>
      </c>
      <c r="I189" s="7">
        <v>25</v>
      </c>
      <c r="J189" s="13">
        <f t="shared" si="46"/>
        <v>50</v>
      </c>
      <c r="K189" s="5">
        <v>0</v>
      </c>
      <c r="L189" s="7">
        <v>0</v>
      </c>
      <c r="M189" s="13">
        <f t="shared" si="47"/>
        <v>0</v>
      </c>
      <c r="N189" s="6">
        <f t="shared" si="48"/>
        <v>50</v>
      </c>
      <c r="O189" s="5" t="str">
        <f t="shared" si="49"/>
        <v>Green</v>
      </c>
      <c r="P189" s="7" t="s">
        <v>610</v>
      </c>
      <c r="Q189" s="8" t="s">
        <v>511</v>
      </c>
    </row>
    <row r="190" spans="1:17" ht="28" x14ac:dyDescent="0.3">
      <c r="A190" s="3">
        <v>87</v>
      </c>
      <c r="B190" s="4" t="s">
        <v>324</v>
      </c>
      <c r="C190" s="7"/>
      <c r="D190" s="5"/>
      <c r="E190" s="5"/>
      <c r="F190" s="13"/>
      <c r="G190" s="5"/>
      <c r="H190" s="5"/>
      <c r="I190" s="5"/>
      <c r="J190" s="14"/>
      <c r="K190" s="5"/>
      <c r="L190" s="5"/>
      <c r="M190" s="14"/>
      <c r="N190" s="6"/>
      <c r="O190" s="5"/>
      <c r="P190" s="7" t="s">
        <v>610</v>
      </c>
      <c r="Q190" s="8"/>
    </row>
    <row r="191" spans="1:17" ht="28" x14ac:dyDescent="0.3">
      <c r="A191" s="3">
        <v>87.1</v>
      </c>
      <c r="B191" s="4" t="s">
        <v>323</v>
      </c>
      <c r="C191" s="7">
        <v>30</v>
      </c>
      <c r="D191" s="5">
        <v>25</v>
      </c>
      <c r="E191" s="5">
        <v>30</v>
      </c>
      <c r="F191" s="13">
        <f>C191+D191+E191</f>
        <v>85</v>
      </c>
      <c r="G191" s="5">
        <v>25</v>
      </c>
      <c r="H191" s="5">
        <v>20</v>
      </c>
      <c r="I191" s="5">
        <v>30</v>
      </c>
      <c r="J191" s="14">
        <f>G191+H191+I191</f>
        <v>75</v>
      </c>
      <c r="K191" s="5">
        <v>0</v>
      </c>
      <c r="L191" s="5">
        <v>0</v>
      </c>
      <c r="M191" s="14">
        <f>K191+L191</f>
        <v>0</v>
      </c>
      <c r="N191" s="6">
        <f>(MAX(F191,J191,M191))+((100-MAX(F191,J191,M191))*((MEDIAN(F191,J191,M191)+MIN(F191,J191,M191))/200))</f>
        <v>90.625</v>
      </c>
      <c r="O191" s="5" t="str">
        <f>IF(N191&gt;=80,"Red",IF(AND(N191&gt;=55,N191&lt;80),"Orange",IF(AND(N191&gt;=25,N191&lt;55),"Green",IF(N191&lt;25,"White"))))</f>
        <v>Red</v>
      </c>
      <c r="P191" s="7" t="s">
        <v>610</v>
      </c>
      <c r="Q191" s="8"/>
    </row>
    <row r="192" spans="1:17" ht="42" x14ac:dyDescent="0.3">
      <c r="A192" s="3">
        <v>87.2</v>
      </c>
      <c r="B192" s="4" t="s">
        <v>353</v>
      </c>
      <c r="C192" s="7">
        <v>25</v>
      </c>
      <c r="D192" s="5">
        <v>25</v>
      </c>
      <c r="E192" s="5">
        <v>30</v>
      </c>
      <c r="F192" s="13">
        <f>C192+D192+E192</f>
        <v>80</v>
      </c>
      <c r="G192" s="5">
        <v>25</v>
      </c>
      <c r="H192" s="5">
        <v>0</v>
      </c>
      <c r="I192" s="5">
        <v>25</v>
      </c>
      <c r="J192" s="14">
        <f>G192+H192+I192</f>
        <v>50</v>
      </c>
      <c r="K192" s="5">
        <v>0</v>
      </c>
      <c r="L192" s="5">
        <v>0</v>
      </c>
      <c r="M192" s="14">
        <f>K192+L192</f>
        <v>0</v>
      </c>
      <c r="N192" s="6">
        <f>(MAX(F192,J192,M192))+((100-MAX(F192,J192,M192))*((MEDIAN(F192,J192,M192)+MIN(F192,J192,M192))/200))</f>
        <v>85</v>
      </c>
      <c r="O192" s="5" t="str">
        <f>IF(N192&gt;=80,"Red",IF(AND(N192&gt;=55,N192&lt;80),"Orange",IF(AND(N192&gt;=25,N192&lt;55),"Green",IF(N192&lt;25,"White"))))</f>
        <v>Red</v>
      </c>
      <c r="P192" s="7" t="s">
        <v>610</v>
      </c>
      <c r="Q192" s="8"/>
    </row>
    <row r="193" spans="1:17" ht="42" x14ac:dyDescent="0.3">
      <c r="A193" s="3">
        <v>87.3</v>
      </c>
      <c r="B193" s="4" t="s">
        <v>354</v>
      </c>
      <c r="C193" s="7">
        <v>25</v>
      </c>
      <c r="D193" s="5">
        <v>25</v>
      </c>
      <c r="E193" s="5">
        <v>20</v>
      </c>
      <c r="F193" s="13">
        <f>C193+D193+E193</f>
        <v>70</v>
      </c>
      <c r="G193" s="5">
        <v>25</v>
      </c>
      <c r="H193" s="5">
        <v>0</v>
      </c>
      <c r="I193" s="5">
        <v>25</v>
      </c>
      <c r="J193" s="14">
        <f>G193+H193+I193</f>
        <v>50</v>
      </c>
      <c r="K193" s="5">
        <v>0</v>
      </c>
      <c r="L193" s="5">
        <v>0</v>
      </c>
      <c r="M193" s="14">
        <f>K193+L193</f>
        <v>0</v>
      </c>
      <c r="N193" s="6">
        <f>(MAX(F193,J193,M193))+((100-MAX(F193,J193,M193))*((MEDIAN(F193,J193,M193)+MIN(F193,J193,M193))/200))</f>
        <v>77.5</v>
      </c>
      <c r="O193" s="5" t="str">
        <f>IF(N193&gt;=80,"Red",IF(AND(N193&gt;=55,N193&lt;80),"Orange",IF(AND(N193&gt;=25,N193&lt;55),"Green",IF(N193&lt;25,"White"))))</f>
        <v>Orange</v>
      </c>
      <c r="P193" s="7" t="s">
        <v>610</v>
      </c>
      <c r="Q193" s="8"/>
    </row>
    <row r="194" spans="1:17" ht="28" x14ac:dyDescent="0.3">
      <c r="A194" s="3">
        <v>87.4</v>
      </c>
      <c r="B194" s="4" t="s">
        <v>325</v>
      </c>
      <c r="C194" s="7">
        <v>25</v>
      </c>
      <c r="D194" s="5">
        <v>25</v>
      </c>
      <c r="E194" s="5">
        <v>20</v>
      </c>
      <c r="F194" s="13">
        <f>C194+D194+E194</f>
        <v>70</v>
      </c>
      <c r="G194" s="5">
        <v>0</v>
      </c>
      <c r="H194" s="5">
        <v>0</v>
      </c>
      <c r="I194" s="5">
        <v>10</v>
      </c>
      <c r="J194" s="14">
        <f>G194+H194+I194</f>
        <v>10</v>
      </c>
      <c r="K194" s="5">
        <v>0</v>
      </c>
      <c r="L194" s="5">
        <v>0</v>
      </c>
      <c r="M194" s="14">
        <f>K194+L194</f>
        <v>0</v>
      </c>
      <c r="N194" s="6">
        <f>(MAX(F194,J194,M194))+((100-MAX(F194,J194,M194))*((MEDIAN(F194,J194,M194)+MIN(F194,J194,M194))/200))</f>
        <v>71.5</v>
      </c>
      <c r="O194" s="5" t="str">
        <f>IF(N194&gt;=80,"Red",IF(AND(N194&gt;=55,N194&lt;80),"Orange",IF(AND(N194&gt;=25,N194&lt;55),"Green",IF(N194&lt;25,"White"))))</f>
        <v>Orange</v>
      </c>
      <c r="P194" s="7" t="s">
        <v>610</v>
      </c>
      <c r="Q194" s="8"/>
    </row>
    <row r="195" spans="1:17" ht="28" x14ac:dyDescent="0.3">
      <c r="A195" s="3">
        <v>88</v>
      </c>
      <c r="B195" s="4" t="s">
        <v>51</v>
      </c>
      <c r="C195" s="7"/>
      <c r="D195" s="7"/>
      <c r="E195" s="7"/>
      <c r="F195" s="14"/>
      <c r="G195" s="7"/>
      <c r="H195" s="7"/>
      <c r="I195" s="7"/>
      <c r="J195" s="14"/>
      <c r="K195" s="7"/>
      <c r="L195" s="7"/>
      <c r="M195" s="14"/>
      <c r="N195" s="6"/>
      <c r="O195" s="5"/>
      <c r="P195" s="7" t="s">
        <v>610</v>
      </c>
      <c r="Q195" s="8"/>
    </row>
    <row r="196" spans="1:17" ht="28" x14ac:dyDescent="0.3">
      <c r="A196" s="3">
        <v>88.1</v>
      </c>
      <c r="B196" s="4" t="s">
        <v>432</v>
      </c>
      <c r="C196" s="2">
        <v>10</v>
      </c>
      <c r="D196" s="2">
        <v>25</v>
      </c>
      <c r="E196" s="2">
        <v>35</v>
      </c>
      <c r="F196" s="13">
        <f t="shared" ref="F196:F206" si="50">C196+D196+E196</f>
        <v>70</v>
      </c>
      <c r="G196" s="2">
        <v>25</v>
      </c>
      <c r="H196" s="2">
        <v>30</v>
      </c>
      <c r="I196" s="2">
        <v>35</v>
      </c>
      <c r="J196" s="13">
        <f t="shared" ref="J196:J206" si="51">G196+H196+I196</f>
        <v>90</v>
      </c>
      <c r="K196" s="2">
        <v>10</v>
      </c>
      <c r="L196" s="2">
        <v>70</v>
      </c>
      <c r="M196" s="13">
        <f t="shared" ref="M196:M206" si="52">K196+L196</f>
        <v>80</v>
      </c>
      <c r="N196" s="6">
        <f t="shared" ref="N196:N206" si="53">(MAX(F196,J196,M196))+((100-MAX(F196,J196,M196))*((MEDIAN(F196,J196,M196)+MIN(F196,J196,M196))/200))</f>
        <v>97.5</v>
      </c>
      <c r="O196" s="5" t="str">
        <f t="shared" ref="O196:O206" si="54">IF(N196&gt;=80,"Red",IF(AND(N196&gt;=55,N196&lt;80),"Orange",IF(AND(N196&gt;=25,N196&lt;55),"Green",IF(N196&lt;25,"White"))))</f>
        <v>Red</v>
      </c>
      <c r="P196" s="7" t="s">
        <v>610</v>
      </c>
      <c r="Q196" s="8"/>
    </row>
    <row r="197" spans="1:17" ht="28" x14ac:dyDescent="0.3">
      <c r="A197" s="3">
        <v>88.2</v>
      </c>
      <c r="B197" s="4" t="s">
        <v>52</v>
      </c>
      <c r="C197" s="2">
        <v>0</v>
      </c>
      <c r="D197" s="2">
        <v>25</v>
      </c>
      <c r="E197" s="2">
        <v>35</v>
      </c>
      <c r="F197" s="13">
        <f t="shared" si="50"/>
        <v>60</v>
      </c>
      <c r="G197" s="2">
        <v>25</v>
      </c>
      <c r="H197" s="2">
        <v>30</v>
      </c>
      <c r="I197" s="2">
        <v>35</v>
      </c>
      <c r="J197" s="13">
        <f t="shared" si="51"/>
        <v>90</v>
      </c>
      <c r="K197" s="2">
        <v>0</v>
      </c>
      <c r="L197" s="2">
        <v>0</v>
      </c>
      <c r="M197" s="13">
        <f t="shared" si="52"/>
        <v>0</v>
      </c>
      <c r="N197" s="6">
        <f t="shared" si="53"/>
        <v>93</v>
      </c>
      <c r="O197" s="5" t="str">
        <f t="shared" si="54"/>
        <v>Red</v>
      </c>
      <c r="P197" s="7" t="s">
        <v>610</v>
      </c>
      <c r="Q197" s="8"/>
    </row>
    <row r="198" spans="1:17" ht="28" x14ac:dyDescent="0.3">
      <c r="A198" s="3">
        <v>88.3</v>
      </c>
      <c r="B198" s="4" t="s">
        <v>310</v>
      </c>
      <c r="C198" s="2">
        <v>20</v>
      </c>
      <c r="D198" s="2">
        <v>30</v>
      </c>
      <c r="E198" s="2">
        <v>35</v>
      </c>
      <c r="F198" s="13">
        <f t="shared" si="50"/>
        <v>85</v>
      </c>
      <c r="G198" s="2">
        <v>25</v>
      </c>
      <c r="H198" s="2">
        <v>30</v>
      </c>
      <c r="I198" s="2">
        <v>35</v>
      </c>
      <c r="J198" s="13">
        <f t="shared" si="51"/>
        <v>90</v>
      </c>
      <c r="K198" s="7">
        <v>25</v>
      </c>
      <c r="L198" s="2">
        <v>70</v>
      </c>
      <c r="M198" s="13">
        <f t="shared" si="52"/>
        <v>95</v>
      </c>
      <c r="N198" s="6">
        <f t="shared" si="53"/>
        <v>99.375</v>
      </c>
      <c r="O198" s="5" t="str">
        <f t="shared" si="54"/>
        <v>Red</v>
      </c>
      <c r="P198" s="7" t="s">
        <v>610</v>
      </c>
      <c r="Q198" s="8" t="s">
        <v>529</v>
      </c>
    </row>
    <row r="199" spans="1:17" ht="28" x14ac:dyDescent="0.3">
      <c r="A199" s="3">
        <v>88.4</v>
      </c>
      <c r="B199" s="4" t="s">
        <v>433</v>
      </c>
      <c r="C199" s="2">
        <v>10</v>
      </c>
      <c r="D199" s="2">
        <v>0</v>
      </c>
      <c r="E199" s="2">
        <v>20</v>
      </c>
      <c r="F199" s="13">
        <f t="shared" si="50"/>
        <v>30</v>
      </c>
      <c r="G199" s="2">
        <v>25</v>
      </c>
      <c r="H199" s="2">
        <v>25</v>
      </c>
      <c r="I199" s="2">
        <v>25</v>
      </c>
      <c r="J199" s="13">
        <f t="shared" si="51"/>
        <v>75</v>
      </c>
      <c r="K199" s="2">
        <v>0</v>
      </c>
      <c r="L199" s="2">
        <v>0</v>
      </c>
      <c r="M199" s="13">
        <f t="shared" si="52"/>
        <v>0</v>
      </c>
      <c r="N199" s="6">
        <f t="shared" si="53"/>
        <v>78.75</v>
      </c>
      <c r="O199" s="5" t="str">
        <f t="shared" si="54"/>
        <v>Orange</v>
      </c>
      <c r="P199" s="7" t="s">
        <v>610</v>
      </c>
      <c r="Q199" s="8"/>
    </row>
    <row r="200" spans="1:17" ht="28" x14ac:dyDescent="0.3">
      <c r="A200" s="3">
        <v>88.5</v>
      </c>
      <c r="B200" s="4" t="s">
        <v>308</v>
      </c>
      <c r="C200" s="2">
        <v>0</v>
      </c>
      <c r="D200" s="2">
        <v>0</v>
      </c>
      <c r="E200" s="2">
        <v>0</v>
      </c>
      <c r="F200" s="13">
        <f t="shared" si="50"/>
        <v>0</v>
      </c>
      <c r="G200" s="2">
        <v>25</v>
      </c>
      <c r="H200" s="2">
        <v>30</v>
      </c>
      <c r="I200" s="2">
        <v>0</v>
      </c>
      <c r="J200" s="13">
        <f t="shared" si="51"/>
        <v>55</v>
      </c>
      <c r="K200" s="2">
        <v>0</v>
      </c>
      <c r="L200" s="2">
        <v>0</v>
      </c>
      <c r="M200" s="13">
        <f t="shared" si="52"/>
        <v>0</v>
      </c>
      <c r="N200" s="6">
        <f t="shared" si="53"/>
        <v>55</v>
      </c>
      <c r="O200" s="5" t="str">
        <f t="shared" si="54"/>
        <v>Orange</v>
      </c>
      <c r="P200" s="7" t="s">
        <v>610</v>
      </c>
      <c r="Q200" s="8"/>
    </row>
    <row r="201" spans="1:17" ht="28" x14ac:dyDescent="0.3">
      <c r="A201" s="3">
        <v>89</v>
      </c>
      <c r="B201" s="4" t="s">
        <v>141</v>
      </c>
      <c r="C201" s="5">
        <v>0</v>
      </c>
      <c r="D201" s="5">
        <v>0</v>
      </c>
      <c r="E201" s="5">
        <v>0</v>
      </c>
      <c r="F201" s="14">
        <f t="shared" si="50"/>
        <v>0</v>
      </c>
      <c r="G201" s="7">
        <v>30</v>
      </c>
      <c r="H201" s="5">
        <v>20</v>
      </c>
      <c r="I201" s="5">
        <v>0</v>
      </c>
      <c r="J201" s="13">
        <f t="shared" si="51"/>
        <v>50</v>
      </c>
      <c r="K201" s="7">
        <v>25</v>
      </c>
      <c r="L201" s="7">
        <v>10</v>
      </c>
      <c r="M201" s="13">
        <f t="shared" si="52"/>
        <v>35</v>
      </c>
      <c r="N201" s="6">
        <f t="shared" si="53"/>
        <v>58.75</v>
      </c>
      <c r="O201" s="5" t="str">
        <f t="shared" si="54"/>
        <v>Orange</v>
      </c>
      <c r="P201" s="7" t="s">
        <v>610</v>
      </c>
      <c r="Q201" s="8"/>
    </row>
    <row r="202" spans="1:17" ht="42" x14ac:dyDescent="0.3">
      <c r="A202" s="3">
        <v>90</v>
      </c>
      <c r="B202" s="4" t="s">
        <v>142</v>
      </c>
      <c r="C202" s="5">
        <v>0</v>
      </c>
      <c r="D202" s="5">
        <v>0</v>
      </c>
      <c r="E202" s="5">
        <v>0</v>
      </c>
      <c r="F202" s="14">
        <f t="shared" si="50"/>
        <v>0</v>
      </c>
      <c r="G202" s="2">
        <v>25</v>
      </c>
      <c r="H202" s="5">
        <v>25</v>
      </c>
      <c r="I202" s="5">
        <v>25</v>
      </c>
      <c r="J202" s="13">
        <f t="shared" si="51"/>
        <v>75</v>
      </c>
      <c r="K202" s="2">
        <v>0</v>
      </c>
      <c r="L202" s="2">
        <v>0</v>
      </c>
      <c r="M202" s="13">
        <f t="shared" si="52"/>
        <v>0</v>
      </c>
      <c r="N202" s="6">
        <f t="shared" si="53"/>
        <v>75</v>
      </c>
      <c r="O202" s="5" t="str">
        <f t="shared" si="54"/>
        <v>Orange</v>
      </c>
      <c r="P202" s="7" t="s">
        <v>610</v>
      </c>
      <c r="Q202" s="8"/>
    </row>
    <row r="203" spans="1:17" ht="28" x14ac:dyDescent="0.3">
      <c r="A203" s="3">
        <v>91</v>
      </c>
      <c r="B203" s="4" t="s">
        <v>311</v>
      </c>
      <c r="C203" s="7">
        <v>30</v>
      </c>
      <c r="D203" s="5">
        <v>15</v>
      </c>
      <c r="E203" s="5">
        <v>25</v>
      </c>
      <c r="F203" s="13">
        <f t="shared" si="50"/>
        <v>70</v>
      </c>
      <c r="G203" s="5">
        <v>25</v>
      </c>
      <c r="H203" s="5">
        <v>0</v>
      </c>
      <c r="I203" s="5">
        <v>25</v>
      </c>
      <c r="J203" s="14">
        <f t="shared" si="51"/>
        <v>50</v>
      </c>
      <c r="K203" s="5">
        <v>0</v>
      </c>
      <c r="L203" s="5">
        <v>0</v>
      </c>
      <c r="M203" s="14">
        <f t="shared" si="52"/>
        <v>0</v>
      </c>
      <c r="N203" s="6">
        <f t="shared" si="53"/>
        <v>77.5</v>
      </c>
      <c r="O203" s="5" t="str">
        <f t="shared" si="54"/>
        <v>Orange</v>
      </c>
      <c r="P203" s="7" t="s">
        <v>610</v>
      </c>
      <c r="Q203" s="8"/>
    </row>
    <row r="204" spans="1:17" ht="28" x14ac:dyDescent="0.3">
      <c r="A204" s="3">
        <v>92</v>
      </c>
      <c r="B204" s="4" t="s">
        <v>162</v>
      </c>
      <c r="C204" s="5">
        <v>0</v>
      </c>
      <c r="D204" s="5">
        <v>0</v>
      </c>
      <c r="E204" s="5">
        <v>0</v>
      </c>
      <c r="F204" s="14">
        <f t="shared" si="50"/>
        <v>0</v>
      </c>
      <c r="G204" s="7">
        <v>30</v>
      </c>
      <c r="H204" s="5">
        <v>0</v>
      </c>
      <c r="I204" s="5">
        <v>25</v>
      </c>
      <c r="J204" s="13">
        <f t="shared" si="51"/>
        <v>55</v>
      </c>
      <c r="K204" s="7">
        <v>0</v>
      </c>
      <c r="L204" s="7">
        <v>0</v>
      </c>
      <c r="M204" s="13">
        <f t="shared" si="52"/>
        <v>0</v>
      </c>
      <c r="N204" s="6">
        <f t="shared" si="53"/>
        <v>55</v>
      </c>
      <c r="O204" s="5" t="str">
        <f t="shared" si="54"/>
        <v>Orange</v>
      </c>
      <c r="P204" s="7" t="s">
        <v>610</v>
      </c>
      <c r="Q204" s="8"/>
    </row>
    <row r="205" spans="1:17" ht="28" x14ac:dyDescent="0.3">
      <c r="A205" s="3">
        <v>93</v>
      </c>
      <c r="B205" s="4" t="s">
        <v>407</v>
      </c>
      <c r="C205" s="5">
        <v>0</v>
      </c>
      <c r="D205" s="5">
        <v>0</v>
      </c>
      <c r="E205" s="5">
        <v>0</v>
      </c>
      <c r="F205" s="14">
        <f t="shared" si="50"/>
        <v>0</v>
      </c>
      <c r="G205" s="5">
        <v>0</v>
      </c>
      <c r="H205" s="5">
        <v>20</v>
      </c>
      <c r="I205" s="5">
        <v>0</v>
      </c>
      <c r="J205" s="14">
        <f t="shared" si="51"/>
        <v>20</v>
      </c>
      <c r="K205" s="5">
        <v>0</v>
      </c>
      <c r="L205" s="5">
        <v>0</v>
      </c>
      <c r="M205" s="14">
        <f t="shared" si="52"/>
        <v>0</v>
      </c>
      <c r="N205" s="6">
        <f t="shared" si="53"/>
        <v>20</v>
      </c>
      <c r="O205" s="5" t="str">
        <f t="shared" si="54"/>
        <v>White</v>
      </c>
      <c r="P205" s="7" t="s">
        <v>610</v>
      </c>
      <c r="Q205" s="8"/>
    </row>
    <row r="206" spans="1:17" ht="28" x14ac:dyDescent="0.3">
      <c r="A206" s="3">
        <v>94</v>
      </c>
      <c r="B206" s="4" t="s">
        <v>269</v>
      </c>
      <c r="C206" s="5">
        <v>0</v>
      </c>
      <c r="D206" s="5">
        <v>0</v>
      </c>
      <c r="E206" s="5">
        <v>0</v>
      </c>
      <c r="F206" s="14">
        <f t="shared" si="50"/>
        <v>0</v>
      </c>
      <c r="G206" s="5">
        <v>0</v>
      </c>
      <c r="H206" s="5">
        <v>0</v>
      </c>
      <c r="I206" s="5">
        <v>0</v>
      </c>
      <c r="J206" s="14">
        <f t="shared" si="51"/>
        <v>0</v>
      </c>
      <c r="K206" s="5">
        <v>0</v>
      </c>
      <c r="L206" s="5">
        <v>0</v>
      </c>
      <c r="M206" s="14">
        <f t="shared" si="52"/>
        <v>0</v>
      </c>
      <c r="N206" s="6">
        <f t="shared" si="53"/>
        <v>0</v>
      </c>
      <c r="O206" s="5" t="str">
        <f t="shared" si="54"/>
        <v>White</v>
      </c>
      <c r="P206" s="7" t="s">
        <v>610</v>
      </c>
      <c r="Q206" s="8"/>
    </row>
    <row r="207" spans="1:17" ht="42" x14ac:dyDescent="0.3">
      <c r="A207" s="3">
        <v>95</v>
      </c>
      <c r="B207" s="4" t="s">
        <v>84</v>
      </c>
      <c r="C207" s="7"/>
      <c r="D207" s="7"/>
      <c r="E207" s="7"/>
      <c r="F207" s="14"/>
      <c r="G207" s="7"/>
      <c r="H207" s="7"/>
      <c r="I207" s="7"/>
      <c r="J207" s="14"/>
      <c r="K207" s="7"/>
      <c r="L207" s="7"/>
      <c r="M207" s="14"/>
      <c r="N207" s="6"/>
      <c r="O207" s="5"/>
      <c r="P207" s="7" t="s">
        <v>610</v>
      </c>
      <c r="Q207" s="8"/>
    </row>
    <row r="208" spans="1:17" ht="28" x14ac:dyDescent="0.3">
      <c r="A208" s="3">
        <v>95.1</v>
      </c>
      <c r="B208" s="4" t="s">
        <v>85</v>
      </c>
      <c r="C208" s="2">
        <v>25</v>
      </c>
      <c r="D208" s="2">
        <v>30</v>
      </c>
      <c r="E208" s="2">
        <v>35</v>
      </c>
      <c r="F208" s="13">
        <f>C208+D208+E208</f>
        <v>90</v>
      </c>
      <c r="G208" s="2">
        <v>25</v>
      </c>
      <c r="H208" s="2">
        <v>30</v>
      </c>
      <c r="I208" s="2">
        <v>35</v>
      </c>
      <c r="J208" s="13">
        <f>G208+H208+I208</f>
        <v>90</v>
      </c>
      <c r="K208" s="7">
        <v>25</v>
      </c>
      <c r="L208" s="2">
        <v>50</v>
      </c>
      <c r="M208" s="13">
        <f>K208+L208</f>
        <v>75</v>
      </c>
      <c r="N208" s="6">
        <f>(MAX(F208,J208,M208))+((100-MAX(F208,J208,M208))*((MEDIAN(F208,J208,M208)+MIN(F208,J208,M208))/200))</f>
        <v>98.25</v>
      </c>
      <c r="O208" s="5" t="str">
        <f>IF(N208&gt;=80,"Red",IF(AND(N208&gt;=55,N208&lt;80),"Orange",IF(AND(N208&gt;=25,N208&lt;55),"Green",IF(N208&lt;25,"White"))))</f>
        <v>Red</v>
      </c>
      <c r="P208" s="7" t="s">
        <v>610</v>
      </c>
      <c r="Q208" s="8"/>
    </row>
    <row r="209" spans="1:17" ht="28" x14ac:dyDescent="0.3">
      <c r="A209" s="3">
        <v>95.2</v>
      </c>
      <c r="B209" s="4" t="s">
        <v>86</v>
      </c>
      <c r="C209" s="2">
        <v>0</v>
      </c>
      <c r="D209" s="2">
        <v>0</v>
      </c>
      <c r="E209" s="2">
        <v>0</v>
      </c>
      <c r="F209" s="13">
        <f>C209+D209+E209</f>
        <v>0</v>
      </c>
      <c r="G209" s="2">
        <v>25</v>
      </c>
      <c r="H209" s="2">
        <v>30</v>
      </c>
      <c r="I209" s="2">
        <v>35</v>
      </c>
      <c r="J209" s="13">
        <f>G209+H209+I209</f>
        <v>90</v>
      </c>
      <c r="K209" s="2">
        <v>0</v>
      </c>
      <c r="L209" s="2">
        <v>0</v>
      </c>
      <c r="M209" s="13">
        <f>K209+L209</f>
        <v>0</v>
      </c>
      <c r="N209" s="6">
        <f>(MAX(F209,J209,M209))+((100-MAX(F209,J209,M209))*((MEDIAN(F209,J209,M209)+MIN(F209,J209,M209))/200))</f>
        <v>90</v>
      </c>
      <c r="O209" s="5" t="str">
        <f>IF(N209&gt;=80,"Red",IF(AND(N209&gt;=55,N209&lt;80),"Orange",IF(AND(N209&gt;=25,N209&lt;55),"Green",IF(N209&lt;25,"White"))))</f>
        <v>Red</v>
      </c>
      <c r="P209" s="7" t="s">
        <v>610</v>
      </c>
      <c r="Q209" s="8"/>
    </row>
    <row r="210" spans="1:17" ht="28" x14ac:dyDescent="0.3">
      <c r="A210" s="3">
        <v>95.3</v>
      </c>
      <c r="B210" s="4" t="s">
        <v>87</v>
      </c>
      <c r="C210" s="2">
        <v>20</v>
      </c>
      <c r="D210" s="2">
        <v>25</v>
      </c>
      <c r="E210" s="2">
        <v>35</v>
      </c>
      <c r="F210" s="13">
        <f>C210+D210+E210</f>
        <v>80</v>
      </c>
      <c r="G210" s="2">
        <v>25</v>
      </c>
      <c r="H210" s="2">
        <v>30</v>
      </c>
      <c r="I210" s="2">
        <v>35</v>
      </c>
      <c r="J210" s="13">
        <f>G210+H210+I210</f>
        <v>90</v>
      </c>
      <c r="K210" s="2">
        <v>10</v>
      </c>
      <c r="L210" s="2">
        <v>50</v>
      </c>
      <c r="M210" s="13">
        <f>K210+L210</f>
        <v>60</v>
      </c>
      <c r="N210" s="6">
        <f>(MAX(F210,J210,M210))+((100-MAX(F210,J210,M210))*((MEDIAN(F210,J210,M210)+MIN(F210,J210,M210))/200))</f>
        <v>97</v>
      </c>
      <c r="O210" s="5" t="str">
        <f>IF(N210&gt;=80,"Red",IF(AND(N210&gt;=55,N210&lt;80),"Orange",IF(AND(N210&gt;=25,N210&lt;55),"Green",IF(N210&lt;25,"White"))))</f>
        <v>Red</v>
      </c>
      <c r="P210" s="7" t="s">
        <v>610</v>
      </c>
      <c r="Q210" s="8"/>
    </row>
    <row r="211" spans="1:17" ht="28" x14ac:dyDescent="0.3">
      <c r="A211" s="3">
        <v>95.4</v>
      </c>
      <c r="B211" s="4" t="s">
        <v>88</v>
      </c>
      <c r="C211" s="2">
        <v>20</v>
      </c>
      <c r="D211" s="2">
        <v>15</v>
      </c>
      <c r="E211" s="2">
        <v>30</v>
      </c>
      <c r="F211" s="13">
        <f>C211+D211+E211</f>
        <v>65</v>
      </c>
      <c r="G211" s="2">
        <v>25</v>
      </c>
      <c r="H211" s="2">
        <v>30</v>
      </c>
      <c r="I211" s="2">
        <v>35</v>
      </c>
      <c r="J211" s="13">
        <f>G211+H211+I211</f>
        <v>90</v>
      </c>
      <c r="K211" s="2">
        <v>10</v>
      </c>
      <c r="L211" s="2">
        <v>50</v>
      </c>
      <c r="M211" s="13">
        <f>K211+L211</f>
        <v>60</v>
      </c>
      <c r="N211" s="6">
        <f>(MAX(F211,J211,M211))+((100-MAX(F211,J211,M211))*((MEDIAN(F211,J211,M211)+MIN(F211,J211,M211))/200))</f>
        <v>96.25</v>
      </c>
      <c r="O211" s="5" t="str">
        <f>IF(N211&gt;=80,"Red",IF(AND(N211&gt;=55,N211&lt;80),"Orange",IF(AND(N211&gt;=25,N211&lt;55),"Green",IF(N211&lt;25,"White"))))</f>
        <v>Red</v>
      </c>
      <c r="P211" s="7" t="s">
        <v>610</v>
      </c>
      <c r="Q211" s="8"/>
    </row>
    <row r="212" spans="1:17" ht="28" x14ac:dyDescent="0.3">
      <c r="A212" s="3">
        <v>95.5</v>
      </c>
      <c r="B212" s="4" t="s">
        <v>89</v>
      </c>
      <c r="C212" s="2">
        <v>25</v>
      </c>
      <c r="D212" s="2">
        <v>30</v>
      </c>
      <c r="E212" s="2">
        <v>30</v>
      </c>
      <c r="F212" s="13">
        <f>C212+D212+E212</f>
        <v>85</v>
      </c>
      <c r="G212" s="2">
        <v>25</v>
      </c>
      <c r="H212" s="2">
        <v>30</v>
      </c>
      <c r="I212" s="2">
        <v>35</v>
      </c>
      <c r="J212" s="13">
        <f>G212+H212+I212</f>
        <v>90</v>
      </c>
      <c r="K212" s="7">
        <v>25</v>
      </c>
      <c r="L212" s="2">
        <v>50</v>
      </c>
      <c r="M212" s="13">
        <f>K212+L212</f>
        <v>75</v>
      </c>
      <c r="N212" s="6">
        <f>(MAX(F212,J212,M212))+((100-MAX(F212,J212,M212))*((MEDIAN(F212,J212,M212)+MIN(F212,J212,M212))/200))</f>
        <v>98</v>
      </c>
      <c r="O212" s="5" t="str">
        <f>IF(N212&gt;=80,"Red",IF(AND(N212&gt;=55,N212&lt;80),"Orange",IF(AND(N212&gt;=25,N212&lt;55),"Green",IF(N212&lt;25,"White"))))</f>
        <v>Red</v>
      </c>
      <c r="P212" s="7" t="s">
        <v>610</v>
      </c>
      <c r="Q212" s="8"/>
    </row>
    <row r="213" spans="1:17" ht="28" x14ac:dyDescent="0.3">
      <c r="A213" s="3">
        <v>96</v>
      </c>
      <c r="B213" s="4" t="s">
        <v>73</v>
      </c>
      <c r="C213" s="2"/>
      <c r="D213" s="2"/>
      <c r="E213" s="2"/>
      <c r="F213" s="14"/>
      <c r="G213" s="2"/>
      <c r="H213" s="2"/>
      <c r="I213" s="2"/>
      <c r="J213" s="14"/>
      <c r="K213" s="2"/>
      <c r="L213" s="2"/>
      <c r="M213" s="14"/>
      <c r="N213" s="6"/>
      <c r="O213" s="5"/>
      <c r="P213" s="7" t="s">
        <v>610</v>
      </c>
      <c r="Q213" s="8"/>
    </row>
    <row r="214" spans="1:17" ht="28" x14ac:dyDescent="0.3">
      <c r="A214" s="3">
        <v>96.1</v>
      </c>
      <c r="B214" s="4" t="s">
        <v>74</v>
      </c>
      <c r="C214" s="2">
        <v>10</v>
      </c>
      <c r="D214" s="2">
        <v>30</v>
      </c>
      <c r="E214" s="2">
        <v>35</v>
      </c>
      <c r="F214" s="13">
        <f>C214+D214+E214</f>
        <v>75</v>
      </c>
      <c r="G214" s="2">
        <v>25</v>
      </c>
      <c r="H214" s="2">
        <v>25</v>
      </c>
      <c r="I214" s="2">
        <v>35</v>
      </c>
      <c r="J214" s="13">
        <f>G214+H214+I214</f>
        <v>85</v>
      </c>
      <c r="K214" s="2">
        <v>10</v>
      </c>
      <c r="L214" s="2">
        <v>70</v>
      </c>
      <c r="M214" s="13">
        <f>K214+L214</f>
        <v>80</v>
      </c>
      <c r="N214" s="6">
        <f>(MAX(F214,J214,M214))+((100-MAX(F214,J214,M214))*((MEDIAN(F214,J214,M214)+MIN(F214,J214,M214))/200))</f>
        <v>96.625</v>
      </c>
      <c r="O214" s="5" t="str">
        <f>IF(N214&gt;=80,"Red",IF(AND(N214&gt;=55,N214&lt;80),"Orange",IF(AND(N214&gt;=25,N214&lt;55),"Green",IF(N214&lt;25,"White"))))</f>
        <v>Red</v>
      </c>
      <c r="P214" s="7" t="s">
        <v>610</v>
      </c>
      <c r="Q214" s="8"/>
    </row>
    <row r="215" spans="1:17" ht="28" x14ac:dyDescent="0.3">
      <c r="A215" s="3">
        <v>96.2</v>
      </c>
      <c r="B215" s="4" t="s">
        <v>75</v>
      </c>
      <c r="C215" s="2">
        <v>10</v>
      </c>
      <c r="D215" s="2">
        <v>30</v>
      </c>
      <c r="E215" s="2">
        <v>35</v>
      </c>
      <c r="F215" s="13">
        <f>C215+D215+E215</f>
        <v>75</v>
      </c>
      <c r="G215" s="2">
        <v>30</v>
      </c>
      <c r="H215" s="2">
        <v>25</v>
      </c>
      <c r="I215" s="2">
        <v>35</v>
      </c>
      <c r="J215" s="13">
        <f>G215+H215+I215</f>
        <v>90</v>
      </c>
      <c r="K215" s="7">
        <v>25</v>
      </c>
      <c r="L215" s="2">
        <v>70</v>
      </c>
      <c r="M215" s="13">
        <f>K215+L215</f>
        <v>95</v>
      </c>
      <c r="N215" s="6">
        <f>(MAX(F215,J215,M215))+((100-MAX(F215,J215,M215))*((MEDIAN(F215,J215,M215)+MIN(F215,J215,M215))/200))</f>
        <v>99.125</v>
      </c>
      <c r="O215" s="5" t="str">
        <f>IF(N215&gt;=80,"Red",IF(AND(N215&gt;=55,N215&lt;80),"Orange",IF(AND(N215&gt;=25,N215&lt;55),"Green",IF(N215&lt;25,"White"))))</f>
        <v>Red</v>
      </c>
      <c r="P215" s="7" t="s">
        <v>610</v>
      </c>
      <c r="Q215" s="8"/>
    </row>
    <row r="216" spans="1:17" ht="28" x14ac:dyDescent="0.3">
      <c r="A216" s="3">
        <v>97</v>
      </c>
      <c r="B216" s="4" t="s">
        <v>76</v>
      </c>
      <c r="C216" s="2">
        <v>10</v>
      </c>
      <c r="D216" s="2">
        <v>30</v>
      </c>
      <c r="E216" s="2">
        <v>35</v>
      </c>
      <c r="F216" s="13">
        <f>C216+D216+E216</f>
        <v>75</v>
      </c>
      <c r="G216" s="2">
        <v>30</v>
      </c>
      <c r="H216" s="2">
        <v>25</v>
      </c>
      <c r="I216" s="2">
        <v>35</v>
      </c>
      <c r="J216" s="13">
        <f>G216+H216+I216</f>
        <v>90</v>
      </c>
      <c r="K216" s="2">
        <v>10</v>
      </c>
      <c r="L216" s="2">
        <v>70</v>
      </c>
      <c r="M216" s="13">
        <f>K216+L216</f>
        <v>80</v>
      </c>
      <c r="N216" s="6">
        <f>(MAX(F216,J216,M216))+((100-MAX(F216,J216,M216))*((MEDIAN(F216,J216,M216)+MIN(F216,J216,M216))/200))</f>
        <v>97.75</v>
      </c>
      <c r="O216" s="5" t="str">
        <f>IF(N216&gt;=80,"Red",IF(AND(N216&gt;=55,N216&lt;80),"Orange",IF(AND(N216&gt;=25,N216&lt;55),"Green",IF(N216&lt;25,"White"))))</f>
        <v>Red</v>
      </c>
      <c r="P216" s="7" t="s">
        <v>610</v>
      </c>
      <c r="Q216" s="8"/>
    </row>
    <row r="217" spans="1:17" ht="28" x14ac:dyDescent="0.3">
      <c r="A217" s="3">
        <v>98</v>
      </c>
      <c r="B217" s="4" t="s">
        <v>77</v>
      </c>
      <c r="C217" s="2">
        <v>10</v>
      </c>
      <c r="D217" s="2">
        <v>30</v>
      </c>
      <c r="E217" s="2">
        <v>35</v>
      </c>
      <c r="F217" s="13">
        <f>C217+D217+E217</f>
        <v>75</v>
      </c>
      <c r="G217" s="2">
        <v>30</v>
      </c>
      <c r="H217" s="2">
        <v>25</v>
      </c>
      <c r="I217" s="2">
        <v>35</v>
      </c>
      <c r="J217" s="13">
        <f>G217+H217+I217</f>
        <v>90</v>
      </c>
      <c r="K217" s="7">
        <v>10</v>
      </c>
      <c r="L217" s="2">
        <v>70</v>
      </c>
      <c r="M217" s="13">
        <f>K217+L217</f>
        <v>80</v>
      </c>
      <c r="N217" s="6">
        <f>(MAX(F217,J217,M217))+((100-MAX(F217,J217,M217))*((MEDIAN(F217,J217,M217)+MIN(F217,J217,M217))/200))</f>
        <v>97.75</v>
      </c>
      <c r="O217" s="5" t="str">
        <f>IF(N217&gt;=80,"Red",IF(AND(N217&gt;=55,N217&lt;80),"Orange",IF(AND(N217&gt;=25,N217&lt;55),"Green",IF(N217&lt;25,"White"))))</f>
        <v>Red</v>
      </c>
      <c r="P217" s="7" t="s">
        <v>610</v>
      </c>
      <c r="Q217" s="8"/>
    </row>
    <row r="218" spans="1:17" ht="70" x14ac:dyDescent="0.3">
      <c r="A218" s="3">
        <v>99</v>
      </c>
      <c r="B218" s="4" t="s">
        <v>147</v>
      </c>
      <c r="C218" s="7"/>
      <c r="D218" s="5"/>
      <c r="E218" s="5"/>
      <c r="F218" s="13"/>
      <c r="G218" s="5"/>
      <c r="H218" s="5"/>
      <c r="I218" s="5"/>
      <c r="J218" s="14"/>
      <c r="K218" s="5"/>
      <c r="L218" s="5"/>
      <c r="M218" s="14"/>
      <c r="N218" s="6"/>
      <c r="O218" s="5"/>
      <c r="P218" s="7" t="s">
        <v>610</v>
      </c>
      <c r="Q218" s="8"/>
    </row>
    <row r="219" spans="1:17" ht="70" x14ac:dyDescent="0.3">
      <c r="A219" s="3">
        <v>99.1</v>
      </c>
      <c r="B219" s="4" t="s">
        <v>336</v>
      </c>
      <c r="C219" s="5">
        <v>0</v>
      </c>
      <c r="D219" s="5">
        <v>15</v>
      </c>
      <c r="E219" s="5">
        <v>15</v>
      </c>
      <c r="F219" s="14">
        <f>C219+D219+E219</f>
        <v>30</v>
      </c>
      <c r="G219" s="7">
        <v>25</v>
      </c>
      <c r="H219" s="7">
        <v>25</v>
      </c>
      <c r="I219" s="7">
        <v>25</v>
      </c>
      <c r="J219" s="13">
        <f>G219+H219+I219</f>
        <v>75</v>
      </c>
      <c r="K219" s="7">
        <v>25</v>
      </c>
      <c r="L219" s="7">
        <v>10</v>
      </c>
      <c r="M219" s="13">
        <f>K219+L219</f>
        <v>35</v>
      </c>
      <c r="N219" s="6">
        <f>(MAX(F219,J219,M219))+((100-MAX(F219,J219,M219))*((MEDIAN(F219,J219,M219)+MIN(F219,J219,M219))/200))</f>
        <v>83.125</v>
      </c>
      <c r="O219" s="5" t="str">
        <f>IF(N219&gt;=80,"Red",IF(AND(N219&gt;=55,N219&lt;80),"Orange",IF(AND(N219&gt;=25,N219&lt;55),"Green",IF(N219&lt;25,"White"))))</f>
        <v>Red</v>
      </c>
      <c r="P219" s="7" t="s">
        <v>610</v>
      </c>
      <c r="Q219" s="8"/>
    </row>
    <row r="220" spans="1:17" ht="84" x14ac:dyDescent="0.3">
      <c r="A220" s="3">
        <v>99.2</v>
      </c>
      <c r="B220" s="4" t="s">
        <v>414</v>
      </c>
      <c r="C220" s="5">
        <v>0</v>
      </c>
      <c r="D220" s="5">
        <v>15</v>
      </c>
      <c r="E220" s="5">
        <v>15</v>
      </c>
      <c r="F220" s="14">
        <f>C220+D220+E220</f>
        <v>30</v>
      </c>
      <c r="G220" s="7">
        <v>25</v>
      </c>
      <c r="H220" s="7">
        <v>25</v>
      </c>
      <c r="I220" s="7">
        <v>10</v>
      </c>
      <c r="J220" s="13">
        <f>G220+H220+I220</f>
        <v>60</v>
      </c>
      <c r="K220" s="7">
        <v>10</v>
      </c>
      <c r="L220" s="7">
        <v>10</v>
      </c>
      <c r="M220" s="13">
        <f>K220+L220</f>
        <v>20</v>
      </c>
      <c r="N220" s="6">
        <f>(MAX(F220,J220,M220))+((100-MAX(F220,J220,M220))*((MEDIAN(F220,J220,M220)+MIN(F220,J220,M220))/200))</f>
        <v>70</v>
      </c>
      <c r="O220" s="5" t="str">
        <f>IF(N220&gt;=80,"Red",IF(AND(N220&gt;=55,N220&lt;80),"Orange",IF(AND(N220&gt;=25,N220&lt;55),"Green",IF(N220&lt;25,"White"))))</f>
        <v>Orange</v>
      </c>
      <c r="P220" s="7" t="s">
        <v>610</v>
      </c>
      <c r="Q220" s="8"/>
    </row>
    <row r="221" spans="1:17" ht="42" x14ac:dyDescent="0.3">
      <c r="A221" s="3">
        <v>100</v>
      </c>
      <c r="B221" s="4" t="s">
        <v>130</v>
      </c>
      <c r="C221" s="5">
        <v>0</v>
      </c>
      <c r="D221" s="5">
        <v>0</v>
      </c>
      <c r="E221" s="5">
        <v>0</v>
      </c>
      <c r="F221" s="14">
        <f>C221+D221+E221</f>
        <v>0</v>
      </c>
      <c r="G221" s="7">
        <v>25</v>
      </c>
      <c r="H221" s="5">
        <v>25</v>
      </c>
      <c r="I221" s="5">
        <v>25</v>
      </c>
      <c r="J221" s="13">
        <f>G221+H221+I221</f>
        <v>75</v>
      </c>
      <c r="K221" s="7">
        <v>0</v>
      </c>
      <c r="L221" s="7">
        <v>0</v>
      </c>
      <c r="M221" s="13">
        <f>K221+L221</f>
        <v>0</v>
      </c>
      <c r="N221" s="6">
        <f>(MAX(F221,J221,M221))+((100-MAX(F221,J221,M221))*((MEDIAN(F221,J221,M221)+MIN(F221,J221,M221))/200))</f>
        <v>75</v>
      </c>
      <c r="O221" s="5" t="str">
        <f>IF(N221&gt;=80,"Red",IF(AND(N221&gt;=55,N221&lt;80),"Orange",IF(AND(N221&gt;=25,N221&lt;55),"Green",IF(N221&lt;25,"White"))))</f>
        <v>Orange</v>
      </c>
      <c r="P221" s="7" t="s">
        <v>610</v>
      </c>
      <c r="Q221" s="8"/>
    </row>
    <row r="222" spans="1:17" ht="42" x14ac:dyDescent="0.3">
      <c r="A222" s="3">
        <v>101</v>
      </c>
      <c r="B222" s="4" t="s">
        <v>375</v>
      </c>
      <c r="C222" s="7"/>
      <c r="D222" s="5"/>
      <c r="E222" s="5"/>
      <c r="F222" s="14"/>
      <c r="G222" s="5"/>
      <c r="H222" s="5"/>
      <c r="I222" s="5"/>
      <c r="J222" s="14"/>
      <c r="K222" s="5"/>
      <c r="L222" s="5"/>
      <c r="M222" s="14"/>
      <c r="N222" s="6"/>
      <c r="O222" s="5"/>
      <c r="P222" s="7" t="s">
        <v>610</v>
      </c>
      <c r="Q222" s="8"/>
    </row>
    <row r="223" spans="1:17" ht="98" x14ac:dyDescent="0.3">
      <c r="A223" s="3">
        <v>101.1</v>
      </c>
      <c r="B223" s="4" t="s">
        <v>64</v>
      </c>
      <c r="C223" s="7">
        <v>25</v>
      </c>
      <c r="D223" s="5">
        <v>30</v>
      </c>
      <c r="E223" s="5">
        <v>20</v>
      </c>
      <c r="F223" s="13">
        <f>C223+D223+E223</f>
        <v>75</v>
      </c>
      <c r="G223" s="5">
        <v>30</v>
      </c>
      <c r="H223" s="5">
        <v>25</v>
      </c>
      <c r="I223" s="5">
        <v>0</v>
      </c>
      <c r="J223" s="14">
        <f>G223+H223+I223</f>
        <v>55</v>
      </c>
      <c r="K223" s="7">
        <v>25</v>
      </c>
      <c r="L223" s="5">
        <v>30</v>
      </c>
      <c r="M223" s="14">
        <f>K223+L223</f>
        <v>55</v>
      </c>
      <c r="N223" s="6">
        <f>(MAX(F223,J223,M223))+((100-MAX(F223,J223,M223))*((MEDIAN(F223,J223,M223)+MIN(F223,J223,M223))/200))</f>
        <v>88.75</v>
      </c>
      <c r="O223" s="5" t="str">
        <f>IF(N223&gt;=80,"Red",IF(AND(N223&gt;=55,N223&lt;80),"Orange",IF(AND(N223&gt;=25,N223&lt;55),"Green",IF(N223&lt;25,"White"))))</f>
        <v>Red</v>
      </c>
      <c r="P223" s="7" t="s">
        <v>610</v>
      </c>
      <c r="Q223" s="8"/>
    </row>
    <row r="224" spans="1:17" ht="28" x14ac:dyDescent="0.3">
      <c r="A224" s="3">
        <v>101.2</v>
      </c>
      <c r="B224" s="4" t="s">
        <v>65</v>
      </c>
      <c r="C224" s="7">
        <v>25</v>
      </c>
      <c r="D224" s="5">
        <v>30</v>
      </c>
      <c r="E224" s="5">
        <v>15</v>
      </c>
      <c r="F224" s="13">
        <f>C224+D224+E224</f>
        <v>70</v>
      </c>
      <c r="G224" s="5">
        <v>30</v>
      </c>
      <c r="H224" s="5">
        <v>25</v>
      </c>
      <c r="I224" s="5">
        <v>0</v>
      </c>
      <c r="J224" s="14">
        <f>G224+H224+I224</f>
        <v>55</v>
      </c>
      <c r="K224" s="5">
        <v>0</v>
      </c>
      <c r="L224" s="5">
        <v>0</v>
      </c>
      <c r="M224" s="14">
        <f>K224+L224</f>
        <v>0</v>
      </c>
      <c r="N224" s="6">
        <f>(MAX(F224,J224,M224))+((100-MAX(F224,J224,M224))*((MEDIAN(F224,J224,M224)+MIN(F224,J224,M224))/200))</f>
        <v>78.25</v>
      </c>
      <c r="O224" s="5" t="str">
        <f>IF(N224&gt;=80,"Red",IF(AND(N224&gt;=55,N224&lt;80),"Orange",IF(AND(N224&gt;=25,N224&lt;55),"Green",IF(N224&lt;25,"White"))))</f>
        <v>Orange</v>
      </c>
      <c r="P224" s="7" t="s">
        <v>610</v>
      </c>
      <c r="Q224" s="8"/>
    </row>
    <row r="225" spans="1:17" ht="28" x14ac:dyDescent="0.3">
      <c r="A225" s="3">
        <v>101.3</v>
      </c>
      <c r="B225" s="4" t="s">
        <v>365</v>
      </c>
      <c r="C225" s="5">
        <v>0</v>
      </c>
      <c r="D225" s="5">
        <v>0</v>
      </c>
      <c r="E225" s="5">
        <v>0</v>
      </c>
      <c r="F225" s="14">
        <f>C225+D225+E225</f>
        <v>0</v>
      </c>
      <c r="G225" s="7">
        <v>25</v>
      </c>
      <c r="H225" s="5">
        <v>0</v>
      </c>
      <c r="I225" s="5">
        <v>25</v>
      </c>
      <c r="J225" s="13">
        <f>G225+H225+I225</f>
        <v>50</v>
      </c>
      <c r="K225" s="7">
        <v>0</v>
      </c>
      <c r="L225" s="7">
        <v>0</v>
      </c>
      <c r="M225" s="13">
        <f>K225+L225</f>
        <v>0</v>
      </c>
      <c r="N225" s="6">
        <f>(MAX(F225,J225,M225))+((100-MAX(F225,J225,M225))*((MEDIAN(F225,J225,M225)+MIN(F225,J225,M225))/200))</f>
        <v>50</v>
      </c>
      <c r="O225" s="5" t="str">
        <f>IF(N225&gt;=80,"Red",IF(AND(N225&gt;=55,N225&lt;80),"Orange",IF(AND(N225&gt;=25,N225&lt;55),"Green",IF(N225&lt;25,"White"))))</f>
        <v>Green</v>
      </c>
      <c r="P225" s="7" t="s">
        <v>610</v>
      </c>
      <c r="Q225" s="8"/>
    </row>
    <row r="226" spans="1:17" ht="56" x14ac:dyDescent="0.3">
      <c r="A226" s="3">
        <v>101.4</v>
      </c>
      <c r="B226" s="4" t="s">
        <v>219</v>
      </c>
      <c r="C226" s="7">
        <v>0</v>
      </c>
      <c r="D226" s="5">
        <v>15</v>
      </c>
      <c r="E226" s="5">
        <v>15</v>
      </c>
      <c r="F226" s="13">
        <f>C226+D226+E226</f>
        <v>30</v>
      </c>
      <c r="G226" s="7">
        <v>0</v>
      </c>
      <c r="H226" s="5">
        <v>25</v>
      </c>
      <c r="I226" s="5">
        <v>0</v>
      </c>
      <c r="J226" s="13">
        <f>G226+H226+I226</f>
        <v>25</v>
      </c>
      <c r="K226" s="7">
        <v>0</v>
      </c>
      <c r="L226" s="7">
        <v>0</v>
      </c>
      <c r="M226" s="13">
        <f>K226+L226</f>
        <v>0</v>
      </c>
      <c r="N226" s="6">
        <f>(MAX(F226,J226,M226))+((100-MAX(F226,J226,M226))*((MEDIAN(F226,J226,M226)+MIN(F226,J226,M226))/200))</f>
        <v>38.75</v>
      </c>
      <c r="O226" s="5" t="str">
        <f>IF(N226&gt;=80,"Red",IF(AND(N226&gt;=55,N226&lt;80),"Orange",IF(AND(N226&gt;=25,N226&lt;55),"Green",IF(N226&lt;25,"White"))))</f>
        <v>Green</v>
      </c>
      <c r="P226" s="7" t="s">
        <v>610</v>
      </c>
      <c r="Q226" s="8"/>
    </row>
    <row r="227" spans="1:17" ht="28" x14ac:dyDescent="0.3">
      <c r="A227" s="3">
        <v>102</v>
      </c>
      <c r="B227" s="4" t="s">
        <v>150</v>
      </c>
      <c r="C227" s="5"/>
      <c r="D227" s="5"/>
      <c r="E227" s="5"/>
      <c r="F227" s="14"/>
      <c r="G227" s="7"/>
      <c r="H227" s="5"/>
      <c r="I227" s="5"/>
      <c r="J227" s="13"/>
      <c r="K227" s="7"/>
      <c r="L227" s="7"/>
      <c r="M227" s="13"/>
      <c r="N227" s="6"/>
      <c r="O227" s="5"/>
      <c r="P227" s="7" t="s">
        <v>610</v>
      </c>
      <c r="Q227" s="8"/>
    </row>
    <row r="228" spans="1:17" ht="28" x14ac:dyDescent="0.3">
      <c r="A228" s="3">
        <v>102.1</v>
      </c>
      <c r="B228" s="4" t="s">
        <v>286</v>
      </c>
      <c r="C228" s="5">
        <v>0</v>
      </c>
      <c r="D228" s="5">
        <v>0</v>
      </c>
      <c r="E228" s="5">
        <v>0</v>
      </c>
      <c r="F228" s="14">
        <f>C228+D228+E228</f>
        <v>0</v>
      </c>
      <c r="G228" s="7">
        <v>25</v>
      </c>
      <c r="H228" s="5">
        <v>25</v>
      </c>
      <c r="I228" s="5">
        <v>20</v>
      </c>
      <c r="J228" s="13">
        <f>G228+H228+I228</f>
        <v>70</v>
      </c>
      <c r="K228" s="7">
        <v>30</v>
      </c>
      <c r="L228" s="7">
        <v>10</v>
      </c>
      <c r="M228" s="13">
        <f>K228+L228</f>
        <v>40</v>
      </c>
      <c r="N228" s="6">
        <f>(MAX(F228,J228,M228))+((100-MAX(F228,J228,M228))*((MEDIAN(F228,J228,M228)+MIN(F228,J228,M228))/200))</f>
        <v>76</v>
      </c>
      <c r="O228" s="5" t="str">
        <f>IF(N228&gt;=80,"Red",IF(AND(N228&gt;=55,N228&lt;80),"Orange",IF(AND(N228&gt;=25,N228&lt;55),"Green",IF(N228&lt;25,"White"))))</f>
        <v>Orange</v>
      </c>
      <c r="P228" s="7" t="s">
        <v>610</v>
      </c>
      <c r="Q228" s="8"/>
    </row>
    <row r="229" spans="1:17" ht="28" x14ac:dyDescent="0.3">
      <c r="A229" s="3">
        <v>102.2</v>
      </c>
      <c r="B229" s="4" t="s">
        <v>287</v>
      </c>
      <c r="C229" s="5">
        <v>0</v>
      </c>
      <c r="D229" s="5">
        <v>0</v>
      </c>
      <c r="E229" s="5">
        <v>0</v>
      </c>
      <c r="F229" s="14">
        <f>C229+D229+E229</f>
        <v>0</v>
      </c>
      <c r="G229" s="7">
        <v>25</v>
      </c>
      <c r="H229" s="5">
        <v>25</v>
      </c>
      <c r="I229" s="5">
        <v>10</v>
      </c>
      <c r="J229" s="13">
        <f>G229+H229+I229</f>
        <v>60</v>
      </c>
      <c r="K229" s="7">
        <v>30</v>
      </c>
      <c r="L229" s="7">
        <v>10</v>
      </c>
      <c r="M229" s="13">
        <f>K229+L229</f>
        <v>40</v>
      </c>
      <c r="N229" s="6">
        <f>(MAX(F229,J229,M229))+((100-MAX(F229,J229,M229))*((MEDIAN(F229,J229,M229)+MIN(F229,J229,M229))/200))</f>
        <v>68</v>
      </c>
      <c r="O229" s="5" t="str">
        <f>IF(N229&gt;=80,"Red",IF(AND(N229&gt;=55,N229&lt;80),"Orange",IF(AND(N229&gt;=25,N229&lt;55),"Green",IF(N229&lt;25,"White"))))</f>
        <v>Orange</v>
      </c>
      <c r="P229" s="7" t="s">
        <v>610</v>
      </c>
      <c r="Q229" s="8"/>
    </row>
    <row r="230" spans="1:17" ht="98" x14ac:dyDescent="0.3">
      <c r="A230" s="3">
        <v>102.3</v>
      </c>
      <c r="B230" s="4" t="s">
        <v>288</v>
      </c>
      <c r="C230" s="5">
        <v>0</v>
      </c>
      <c r="D230" s="5">
        <v>0</v>
      </c>
      <c r="E230" s="5">
        <v>0</v>
      </c>
      <c r="F230" s="14">
        <f>C230+D230+E230</f>
        <v>0</v>
      </c>
      <c r="G230" s="7">
        <v>25</v>
      </c>
      <c r="H230" s="5">
        <v>25</v>
      </c>
      <c r="I230" s="5">
        <v>0</v>
      </c>
      <c r="J230" s="13">
        <f>G230+H230+I230</f>
        <v>50</v>
      </c>
      <c r="K230" s="7">
        <v>30</v>
      </c>
      <c r="L230" s="7">
        <v>10</v>
      </c>
      <c r="M230" s="13">
        <f>K230+L230</f>
        <v>40</v>
      </c>
      <c r="N230" s="6">
        <f>(MAX(F230,J230,M230))+((100-MAX(F230,J230,M230))*((MEDIAN(F230,J230,M230)+MIN(F230,J230,M230))/200))</f>
        <v>60</v>
      </c>
      <c r="O230" s="5" t="str">
        <f>IF(N230&gt;=80,"Red",IF(AND(N230&gt;=55,N230&lt;80),"Orange",IF(AND(N230&gt;=25,N230&lt;55),"Green",IF(N230&lt;25,"White"))))</f>
        <v>Orange</v>
      </c>
      <c r="P230" s="7" t="s">
        <v>610</v>
      </c>
      <c r="Q230" s="8" t="s">
        <v>539</v>
      </c>
    </row>
    <row r="231" spans="1:17" ht="42" x14ac:dyDescent="0.3">
      <c r="A231" s="3">
        <v>102.4</v>
      </c>
      <c r="B231" s="4" t="s">
        <v>450</v>
      </c>
      <c r="C231" s="5">
        <v>0</v>
      </c>
      <c r="D231" s="5">
        <v>0</v>
      </c>
      <c r="E231" s="5">
        <v>0</v>
      </c>
      <c r="F231" s="14">
        <f>C231+D231+E231</f>
        <v>0</v>
      </c>
      <c r="G231" s="7">
        <v>0</v>
      </c>
      <c r="H231" s="5">
        <v>0</v>
      </c>
      <c r="I231" s="5">
        <v>0</v>
      </c>
      <c r="J231" s="13">
        <f>G231+H231+I231</f>
        <v>0</v>
      </c>
      <c r="K231" s="7">
        <v>30</v>
      </c>
      <c r="L231" s="7">
        <v>10</v>
      </c>
      <c r="M231" s="13">
        <f>K231+L231</f>
        <v>40</v>
      </c>
      <c r="N231" s="6">
        <f>(MAX(F231,J231,M231))+((100-MAX(F231,J231,M231))*((MEDIAN(F231,J231,M231)+MIN(F231,J231,M231))/200))</f>
        <v>40</v>
      </c>
      <c r="O231" s="5" t="str">
        <f>IF(N231&gt;=80,"Red",IF(AND(N231&gt;=55,N231&lt;80),"Orange",IF(AND(N231&gt;=25,N231&lt;55),"Green",IF(N231&lt;25,"White"))))</f>
        <v>Green</v>
      </c>
      <c r="P231" s="7" t="s">
        <v>610</v>
      </c>
      <c r="Q231" s="8"/>
    </row>
    <row r="232" spans="1:17" ht="28" x14ac:dyDescent="0.3">
      <c r="A232" s="3">
        <v>103</v>
      </c>
      <c r="B232" s="4" t="s">
        <v>169</v>
      </c>
      <c r="C232" s="7"/>
      <c r="D232" s="5"/>
      <c r="E232" s="5"/>
      <c r="F232" s="14"/>
      <c r="G232" s="7"/>
      <c r="H232" s="5"/>
      <c r="I232" s="5"/>
      <c r="J232" s="14"/>
      <c r="K232" s="7"/>
      <c r="L232" s="7"/>
      <c r="M232" s="14"/>
      <c r="N232" s="6"/>
      <c r="O232" s="5"/>
      <c r="P232" s="7" t="s">
        <v>610</v>
      </c>
      <c r="Q232" s="8"/>
    </row>
    <row r="233" spans="1:17" ht="28" x14ac:dyDescent="0.3">
      <c r="A233" s="3">
        <v>103.1</v>
      </c>
      <c r="B233" s="4" t="s">
        <v>170</v>
      </c>
      <c r="C233" s="2">
        <v>25</v>
      </c>
      <c r="D233" s="5">
        <v>30</v>
      </c>
      <c r="E233" s="5">
        <v>15</v>
      </c>
      <c r="F233" s="13">
        <f>C233+D233+E233</f>
        <v>70</v>
      </c>
      <c r="G233" s="2">
        <v>25</v>
      </c>
      <c r="H233" s="5">
        <v>30</v>
      </c>
      <c r="I233" s="5">
        <v>25</v>
      </c>
      <c r="J233" s="13">
        <f>G233+H233+I233</f>
        <v>80</v>
      </c>
      <c r="K233" s="7">
        <v>25</v>
      </c>
      <c r="L233" s="2">
        <v>10</v>
      </c>
      <c r="M233" s="13">
        <f>K233+L233</f>
        <v>35</v>
      </c>
      <c r="N233" s="6">
        <f>(MAX(F233,J233,M233))+((100-MAX(F233,J233,M233))*((MEDIAN(F233,J233,M233)+MIN(F233,J233,M233))/200))</f>
        <v>90.5</v>
      </c>
      <c r="O233" s="5" t="str">
        <f>IF(N233&gt;=80,"Red",IF(AND(N233&gt;=55,N233&lt;80),"Orange",IF(AND(N233&gt;=25,N233&lt;55),"Green",IF(N233&lt;25,"White"))))</f>
        <v>Red</v>
      </c>
      <c r="P233" s="7" t="s">
        <v>610</v>
      </c>
      <c r="Q233" s="8"/>
    </row>
    <row r="234" spans="1:17" ht="28" x14ac:dyDescent="0.3">
      <c r="A234" s="3">
        <v>103.2</v>
      </c>
      <c r="B234" s="4" t="s">
        <v>171</v>
      </c>
      <c r="C234" s="7">
        <v>0</v>
      </c>
      <c r="D234" s="5">
        <v>15</v>
      </c>
      <c r="E234" s="5">
        <v>15</v>
      </c>
      <c r="F234" s="13">
        <f>C234+D234+E234</f>
        <v>30</v>
      </c>
      <c r="G234" s="7">
        <v>25</v>
      </c>
      <c r="H234" s="5">
        <v>0</v>
      </c>
      <c r="I234" s="5">
        <v>25</v>
      </c>
      <c r="J234" s="13">
        <f>G234+H234+I234</f>
        <v>50</v>
      </c>
      <c r="K234" s="7">
        <v>0</v>
      </c>
      <c r="L234" s="7">
        <v>0</v>
      </c>
      <c r="M234" s="13">
        <f>K234+L234</f>
        <v>0</v>
      </c>
      <c r="N234" s="6">
        <f>(MAX(F234,J234,M234))+((100-MAX(F234,J234,M234))*((MEDIAN(F234,J234,M234)+MIN(F234,J234,M234))/200))</f>
        <v>57.5</v>
      </c>
      <c r="O234" s="5" t="str">
        <f>IF(N234&gt;=80,"Red",IF(AND(N234&gt;=55,N234&lt;80),"Orange",IF(AND(N234&gt;=25,N234&lt;55),"Green",IF(N234&lt;25,"White"))))</f>
        <v>Orange</v>
      </c>
      <c r="P234" s="7" t="s">
        <v>610</v>
      </c>
      <c r="Q234" s="8"/>
    </row>
    <row r="235" spans="1:17" ht="28" x14ac:dyDescent="0.3">
      <c r="A235" s="3">
        <v>103.3</v>
      </c>
      <c r="B235" s="4" t="s">
        <v>172</v>
      </c>
      <c r="C235" s="5">
        <v>0</v>
      </c>
      <c r="D235" s="5">
        <v>15</v>
      </c>
      <c r="E235" s="5">
        <v>15</v>
      </c>
      <c r="F235" s="14">
        <f>C235+D235+E235</f>
        <v>30</v>
      </c>
      <c r="G235" s="7">
        <v>25</v>
      </c>
      <c r="H235" s="5">
        <v>0</v>
      </c>
      <c r="I235" s="5">
        <v>10</v>
      </c>
      <c r="J235" s="13">
        <f>G235+H235+I235</f>
        <v>35</v>
      </c>
      <c r="K235" s="7">
        <v>0</v>
      </c>
      <c r="L235" s="7">
        <v>0</v>
      </c>
      <c r="M235" s="13">
        <f>K235+L235</f>
        <v>0</v>
      </c>
      <c r="N235" s="6">
        <f>(MAX(F235,J235,M235))+((100-MAX(F235,J235,M235))*((MEDIAN(F235,J235,M235)+MIN(F235,J235,M235))/200))</f>
        <v>44.75</v>
      </c>
      <c r="O235" s="5" t="str">
        <f>IF(N235&gt;=80,"Red",IF(AND(N235&gt;=55,N235&lt;80),"Orange",IF(AND(N235&gt;=25,N235&lt;55),"Green",IF(N235&lt;25,"White"))))</f>
        <v>Green</v>
      </c>
      <c r="P235" s="7" t="s">
        <v>610</v>
      </c>
      <c r="Q235" s="8"/>
    </row>
    <row r="236" spans="1:17" ht="28" x14ac:dyDescent="0.3">
      <c r="A236" s="3">
        <v>103.4</v>
      </c>
      <c r="B236" s="4" t="s">
        <v>173</v>
      </c>
      <c r="C236" s="5">
        <v>0</v>
      </c>
      <c r="D236" s="5">
        <v>0</v>
      </c>
      <c r="E236" s="5">
        <v>0</v>
      </c>
      <c r="F236" s="14">
        <f>C236+D236+E236</f>
        <v>0</v>
      </c>
      <c r="G236" s="7">
        <v>0</v>
      </c>
      <c r="H236" s="5">
        <v>0</v>
      </c>
      <c r="I236" s="5">
        <v>0</v>
      </c>
      <c r="J236" s="13">
        <f>G236+H236+I236</f>
        <v>0</v>
      </c>
      <c r="K236" s="7">
        <v>0</v>
      </c>
      <c r="L236" s="7">
        <v>0</v>
      </c>
      <c r="M236" s="13">
        <f>K236+L236</f>
        <v>0</v>
      </c>
      <c r="N236" s="6">
        <f>(MAX(F236,J236,M236))+((100-MAX(F236,J236,M236))*((MEDIAN(F236,J236,M236)+MIN(F236,J236,M236))/200))</f>
        <v>0</v>
      </c>
      <c r="O236" s="5" t="str">
        <f>IF(N236&gt;=80,"Red",IF(AND(N236&gt;=55,N236&lt;80),"Orange",IF(AND(N236&gt;=25,N236&lt;55),"Green",IF(N236&lt;25,"White"))))</f>
        <v>White</v>
      </c>
      <c r="P236" s="7" t="s">
        <v>610</v>
      </c>
      <c r="Q236" s="8"/>
    </row>
    <row r="237" spans="1:17" ht="28" x14ac:dyDescent="0.3">
      <c r="A237" s="3">
        <v>104</v>
      </c>
      <c r="B237" s="4" t="s">
        <v>154</v>
      </c>
      <c r="C237" s="5"/>
      <c r="D237" s="5"/>
      <c r="E237" s="5"/>
      <c r="F237" s="14"/>
      <c r="G237" s="7"/>
      <c r="H237" s="5"/>
      <c r="I237" s="5"/>
      <c r="J237" s="14"/>
      <c r="K237" s="7"/>
      <c r="L237" s="7"/>
      <c r="M237" s="14"/>
      <c r="N237" s="6"/>
      <c r="O237" s="5"/>
      <c r="P237" s="7" t="s">
        <v>610</v>
      </c>
      <c r="Q237" s="8"/>
    </row>
    <row r="238" spans="1:17" ht="28" x14ac:dyDescent="0.3">
      <c r="A238" s="3">
        <v>104.1</v>
      </c>
      <c r="B238" s="4" t="s">
        <v>156</v>
      </c>
      <c r="C238" s="9">
        <v>0</v>
      </c>
      <c r="D238" s="9">
        <v>0</v>
      </c>
      <c r="E238" s="9">
        <v>0</v>
      </c>
      <c r="F238" s="14">
        <f>C238+D238+E238</f>
        <v>0</v>
      </c>
      <c r="G238" s="7">
        <v>25</v>
      </c>
      <c r="H238" s="5">
        <v>25</v>
      </c>
      <c r="I238" s="5">
        <v>25</v>
      </c>
      <c r="J238" s="13">
        <f>G238+H238+I238</f>
        <v>75</v>
      </c>
      <c r="K238" s="7">
        <v>10</v>
      </c>
      <c r="L238" s="7">
        <v>10</v>
      </c>
      <c r="M238" s="13">
        <f>K238+L238</f>
        <v>20</v>
      </c>
      <c r="N238" s="6">
        <f>(MAX(F238,J238,M238))+((100-MAX(F238,J238,M238))*((MEDIAN(F238,J238,M238)+MIN(F238,J238,M238))/200))</f>
        <v>77.5</v>
      </c>
      <c r="O238" s="9" t="str">
        <f>IF(N238&gt;=80,"Red",IF(AND(N238&gt;=55,N238&lt;80),"Orange",IF(AND(N238&gt;=25,N238&lt;55),"Green",IF(N238&lt;25,"White"))))</f>
        <v>Orange</v>
      </c>
      <c r="P238" s="7" t="s">
        <v>610</v>
      </c>
      <c r="Q238" s="8"/>
    </row>
    <row r="239" spans="1:17" ht="28" x14ac:dyDescent="0.3">
      <c r="A239" s="3">
        <v>104.2</v>
      </c>
      <c r="B239" s="4" t="s">
        <v>155</v>
      </c>
      <c r="C239" s="5">
        <v>0</v>
      </c>
      <c r="D239" s="5">
        <v>0</v>
      </c>
      <c r="E239" s="5">
        <v>0</v>
      </c>
      <c r="F239" s="14">
        <f>C239+D239+E239</f>
        <v>0</v>
      </c>
      <c r="G239" s="7">
        <v>25</v>
      </c>
      <c r="H239" s="5">
        <v>30</v>
      </c>
      <c r="I239" s="5">
        <v>0</v>
      </c>
      <c r="J239" s="13">
        <f>G239+H239+I239</f>
        <v>55</v>
      </c>
      <c r="K239" s="7">
        <v>10</v>
      </c>
      <c r="L239" s="7">
        <v>10</v>
      </c>
      <c r="M239" s="13">
        <f>K239+L239</f>
        <v>20</v>
      </c>
      <c r="N239" s="6">
        <f>(MAX(F239,J239,M239))+((100-MAX(F239,J239,M239))*((MEDIAN(F239,J239,M239)+MIN(F239,J239,M239))/200))</f>
        <v>59.5</v>
      </c>
      <c r="O239" s="5" t="str">
        <f>IF(N239&gt;=80,"Red",IF(AND(N239&gt;=55,N239&lt;80),"Orange",IF(AND(N239&gt;=25,N239&lt;55),"Green",IF(N239&lt;25,"White"))))</f>
        <v>Orange</v>
      </c>
      <c r="P239" s="7" t="s">
        <v>610</v>
      </c>
      <c r="Q239" s="8"/>
    </row>
    <row r="240" spans="1:17" ht="28" x14ac:dyDescent="0.3">
      <c r="A240" s="3">
        <v>105</v>
      </c>
      <c r="B240" s="4" t="s">
        <v>183</v>
      </c>
      <c r="C240" s="7"/>
      <c r="D240" s="5"/>
      <c r="E240" s="5"/>
      <c r="F240" s="14"/>
      <c r="G240" s="5"/>
      <c r="H240" s="5"/>
      <c r="I240" s="5"/>
      <c r="J240" s="14"/>
      <c r="K240" s="5"/>
      <c r="L240" s="5"/>
      <c r="M240" s="14"/>
      <c r="N240" s="6"/>
      <c r="O240" s="5"/>
      <c r="P240" s="7" t="s">
        <v>610</v>
      </c>
      <c r="Q240" s="8"/>
    </row>
    <row r="241" spans="1:17" ht="28" x14ac:dyDescent="0.3">
      <c r="A241" s="3">
        <v>105.1</v>
      </c>
      <c r="B241" s="4" t="s">
        <v>184</v>
      </c>
      <c r="C241" s="7">
        <v>25</v>
      </c>
      <c r="D241" s="5">
        <v>30</v>
      </c>
      <c r="E241" s="5">
        <v>15</v>
      </c>
      <c r="F241" s="13">
        <f t="shared" ref="F241:F248" si="55">C241+D241+E241</f>
        <v>70</v>
      </c>
      <c r="G241" s="5">
        <v>30</v>
      </c>
      <c r="H241" s="5">
        <v>25</v>
      </c>
      <c r="I241" s="5">
        <v>0</v>
      </c>
      <c r="J241" s="14">
        <f t="shared" ref="J241:J248" si="56">G241+H241+I241</f>
        <v>55</v>
      </c>
      <c r="K241" s="5">
        <v>10</v>
      </c>
      <c r="L241" s="5">
        <v>10</v>
      </c>
      <c r="M241" s="14">
        <f t="shared" ref="M241:M248" si="57">K241+L241</f>
        <v>20</v>
      </c>
      <c r="N241" s="6">
        <f t="shared" ref="N241:N248" si="58">(MAX(F241,J241,M241))+((100-MAX(F241,J241,M241))*((MEDIAN(F241,J241,M241)+MIN(F241,J241,M241))/200))</f>
        <v>81.25</v>
      </c>
      <c r="O241" s="5" t="str">
        <f t="shared" ref="O241:O248" si="59">IF(N241&gt;=80,"Red",IF(AND(N241&gt;=55,N241&lt;80),"Orange",IF(AND(N241&gt;=25,N241&lt;55),"Green",IF(N241&lt;25,"White"))))</f>
        <v>Red</v>
      </c>
      <c r="P241" s="7" t="s">
        <v>610</v>
      </c>
      <c r="Q241" s="8"/>
    </row>
    <row r="242" spans="1:17" ht="28" x14ac:dyDescent="0.3">
      <c r="A242" s="3">
        <v>105.2</v>
      </c>
      <c r="B242" s="4" t="s">
        <v>319</v>
      </c>
      <c r="C242" s="7">
        <v>0</v>
      </c>
      <c r="D242" s="5">
        <v>0</v>
      </c>
      <c r="E242" s="5">
        <v>0</v>
      </c>
      <c r="F242" s="13">
        <f t="shared" si="55"/>
        <v>0</v>
      </c>
      <c r="G242" s="5">
        <v>25</v>
      </c>
      <c r="H242" s="5">
        <v>0</v>
      </c>
      <c r="I242" s="5">
        <v>20</v>
      </c>
      <c r="J242" s="14">
        <f t="shared" si="56"/>
        <v>45</v>
      </c>
      <c r="K242" s="5">
        <v>10</v>
      </c>
      <c r="L242" s="5">
        <v>10</v>
      </c>
      <c r="M242" s="14">
        <f t="shared" si="57"/>
        <v>20</v>
      </c>
      <c r="N242" s="6">
        <f t="shared" si="58"/>
        <v>50.5</v>
      </c>
      <c r="O242" s="5" t="str">
        <f t="shared" si="59"/>
        <v>Green</v>
      </c>
      <c r="P242" s="7" t="s">
        <v>610</v>
      </c>
      <c r="Q242" s="8"/>
    </row>
    <row r="243" spans="1:17" ht="28" x14ac:dyDescent="0.3">
      <c r="A243" s="3">
        <v>105.3</v>
      </c>
      <c r="B243" s="4" t="s">
        <v>320</v>
      </c>
      <c r="C243" s="7">
        <v>0</v>
      </c>
      <c r="D243" s="5">
        <v>0</v>
      </c>
      <c r="E243" s="5">
        <v>0</v>
      </c>
      <c r="F243" s="13">
        <f t="shared" si="55"/>
        <v>0</v>
      </c>
      <c r="G243" s="5">
        <v>0</v>
      </c>
      <c r="H243" s="5">
        <v>0</v>
      </c>
      <c r="I243" s="5">
        <v>0</v>
      </c>
      <c r="J243" s="14">
        <f t="shared" si="56"/>
        <v>0</v>
      </c>
      <c r="K243" s="5">
        <v>0</v>
      </c>
      <c r="L243" s="5">
        <v>0</v>
      </c>
      <c r="M243" s="14">
        <f t="shared" si="57"/>
        <v>0</v>
      </c>
      <c r="N243" s="6">
        <f t="shared" si="58"/>
        <v>0</v>
      </c>
      <c r="O243" s="5" t="str">
        <f t="shared" si="59"/>
        <v>White</v>
      </c>
      <c r="P243" s="7" t="s">
        <v>610</v>
      </c>
      <c r="Q243" s="8"/>
    </row>
    <row r="244" spans="1:17" ht="28" x14ac:dyDescent="0.3">
      <c r="A244" s="3">
        <v>106</v>
      </c>
      <c r="B244" s="4" t="s">
        <v>314</v>
      </c>
      <c r="C244" s="5">
        <v>0</v>
      </c>
      <c r="D244" s="5">
        <v>0</v>
      </c>
      <c r="E244" s="5">
        <v>0</v>
      </c>
      <c r="F244" s="14">
        <f t="shared" si="55"/>
        <v>0</v>
      </c>
      <c r="G244" s="7">
        <v>25</v>
      </c>
      <c r="H244" s="7">
        <v>0</v>
      </c>
      <c r="I244" s="7">
        <v>25</v>
      </c>
      <c r="J244" s="13">
        <f t="shared" si="56"/>
        <v>50</v>
      </c>
      <c r="K244" s="7">
        <v>0</v>
      </c>
      <c r="L244" s="7">
        <v>0</v>
      </c>
      <c r="M244" s="13">
        <f t="shared" si="57"/>
        <v>0</v>
      </c>
      <c r="N244" s="6">
        <f t="shared" si="58"/>
        <v>50</v>
      </c>
      <c r="O244" s="5" t="str">
        <f t="shared" si="59"/>
        <v>Green</v>
      </c>
      <c r="P244" s="7" t="s">
        <v>610</v>
      </c>
      <c r="Q244" s="8"/>
    </row>
    <row r="245" spans="1:17" ht="70" x14ac:dyDescent="0.3">
      <c r="A245" s="3">
        <v>107</v>
      </c>
      <c r="B245" s="4" t="s">
        <v>397</v>
      </c>
      <c r="C245" s="5">
        <v>0</v>
      </c>
      <c r="D245" s="5">
        <v>0</v>
      </c>
      <c r="E245" s="5">
        <v>0</v>
      </c>
      <c r="F245" s="14">
        <f t="shared" si="55"/>
        <v>0</v>
      </c>
      <c r="G245" s="7">
        <v>0</v>
      </c>
      <c r="H245" s="5">
        <v>30</v>
      </c>
      <c r="I245" s="5">
        <v>0</v>
      </c>
      <c r="J245" s="13">
        <f t="shared" si="56"/>
        <v>30</v>
      </c>
      <c r="K245" s="7">
        <v>0</v>
      </c>
      <c r="L245" s="7">
        <v>0</v>
      </c>
      <c r="M245" s="13">
        <f t="shared" si="57"/>
        <v>0</v>
      </c>
      <c r="N245" s="6">
        <f t="shared" si="58"/>
        <v>30</v>
      </c>
      <c r="O245" s="5" t="str">
        <f t="shared" si="59"/>
        <v>Green</v>
      </c>
      <c r="P245" s="7" t="s">
        <v>610</v>
      </c>
      <c r="Q245" s="8" t="s">
        <v>559</v>
      </c>
    </row>
    <row r="246" spans="1:17" ht="28" x14ac:dyDescent="0.3">
      <c r="A246" s="3">
        <v>108</v>
      </c>
      <c r="B246" s="4" t="s">
        <v>266</v>
      </c>
      <c r="C246" s="5">
        <v>0</v>
      </c>
      <c r="D246" s="5">
        <v>0</v>
      </c>
      <c r="E246" s="5">
        <v>0</v>
      </c>
      <c r="F246" s="14">
        <f t="shared" si="55"/>
        <v>0</v>
      </c>
      <c r="G246" s="5">
        <v>0</v>
      </c>
      <c r="H246" s="5">
        <v>0</v>
      </c>
      <c r="I246" s="5">
        <v>0</v>
      </c>
      <c r="J246" s="14">
        <f t="shared" si="56"/>
        <v>0</v>
      </c>
      <c r="K246" s="5">
        <v>0</v>
      </c>
      <c r="L246" s="5">
        <v>0</v>
      </c>
      <c r="M246" s="14">
        <f t="shared" si="57"/>
        <v>0</v>
      </c>
      <c r="N246" s="6">
        <f t="shared" si="58"/>
        <v>0</v>
      </c>
      <c r="O246" s="5" t="str">
        <f t="shared" si="59"/>
        <v>White</v>
      </c>
      <c r="P246" s="7" t="s">
        <v>610</v>
      </c>
      <c r="Q246" s="8"/>
    </row>
    <row r="247" spans="1:17" ht="42" x14ac:dyDescent="0.3">
      <c r="A247" s="3">
        <v>109</v>
      </c>
      <c r="B247" s="4" t="s">
        <v>440</v>
      </c>
      <c r="C247" s="5">
        <v>0</v>
      </c>
      <c r="D247" s="5">
        <v>0</v>
      </c>
      <c r="E247" s="5">
        <v>0</v>
      </c>
      <c r="F247" s="14">
        <f t="shared" si="55"/>
        <v>0</v>
      </c>
      <c r="G247" s="7">
        <v>35</v>
      </c>
      <c r="H247" s="5">
        <v>20</v>
      </c>
      <c r="I247" s="5">
        <v>0</v>
      </c>
      <c r="J247" s="13">
        <f t="shared" si="56"/>
        <v>55</v>
      </c>
      <c r="K247" s="7">
        <v>0</v>
      </c>
      <c r="L247" s="7">
        <v>0</v>
      </c>
      <c r="M247" s="13">
        <f t="shared" si="57"/>
        <v>0</v>
      </c>
      <c r="N247" s="6">
        <f t="shared" si="58"/>
        <v>55</v>
      </c>
      <c r="O247" s="5" t="str">
        <f t="shared" si="59"/>
        <v>Orange</v>
      </c>
      <c r="P247" s="7" t="s">
        <v>610</v>
      </c>
      <c r="Q247" s="8"/>
    </row>
    <row r="248" spans="1:17" ht="42" x14ac:dyDescent="0.3">
      <c r="A248" s="3">
        <v>110</v>
      </c>
      <c r="B248" s="4" t="s">
        <v>411</v>
      </c>
      <c r="C248" s="5">
        <v>0</v>
      </c>
      <c r="D248" s="5">
        <v>0</v>
      </c>
      <c r="E248" s="5">
        <v>0</v>
      </c>
      <c r="F248" s="14">
        <f t="shared" si="55"/>
        <v>0</v>
      </c>
      <c r="G248" s="5">
        <v>0</v>
      </c>
      <c r="H248" s="5">
        <v>0</v>
      </c>
      <c r="I248" s="5">
        <v>0</v>
      </c>
      <c r="J248" s="14">
        <f t="shared" si="56"/>
        <v>0</v>
      </c>
      <c r="K248" s="5">
        <v>10</v>
      </c>
      <c r="L248" s="5">
        <v>10</v>
      </c>
      <c r="M248" s="14">
        <f t="shared" si="57"/>
        <v>20</v>
      </c>
      <c r="N248" s="6">
        <f t="shared" si="58"/>
        <v>20</v>
      </c>
      <c r="O248" s="5" t="str">
        <f t="shared" si="59"/>
        <v>White</v>
      </c>
      <c r="P248" s="7" t="s">
        <v>610</v>
      </c>
      <c r="Q248" s="8" t="s">
        <v>567</v>
      </c>
    </row>
    <row r="249" spans="1:17" ht="28" x14ac:dyDescent="0.3">
      <c r="A249" s="3">
        <v>111</v>
      </c>
      <c r="B249" s="4" t="s">
        <v>34</v>
      </c>
      <c r="C249" s="7"/>
      <c r="D249" s="5"/>
      <c r="E249" s="5"/>
      <c r="F249" s="14"/>
      <c r="G249" s="7"/>
      <c r="H249" s="5"/>
      <c r="I249" s="5"/>
      <c r="J249" s="14"/>
      <c r="K249" s="7"/>
      <c r="L249" s="7"/>
      <c r="M249" s="14"/>
      <c r="N249" s="6"/>
      <c r="O249" s="5"/>
      <c r="P249" s="7" t="s">
        <v>610</v>
      </c>
      <c r="Q249" s="8"/>
    </row>
    <row r="250" spans="1:17" ht="42" x14ac:dyDescent="0.3">
      <c r="A250" s="3">
        <v>111.1</v>
      </c>
      <c r="B250" s="4" t="s">
        <v>417</v>
      </c>
      <c r="C250" s="2">
        <v>30</v>
      </c>
      <c r="D250" s="2">
        <v>30</v>
      </c>
      <c r="E250" s="2">
        <v>25</v>
      </c>
      <c r="F250" s="13">
        <f>C250+D250+E250</f>
        <v>85</v>
      </c>
      <c r="G250" s="2">
        <v>35</v>
      </c>
      <c r="H250" s="2">
        <v>0</v>
      </c>
      <c r="I250" s="2">
        <v>30</v>
      </c>
      <c r="J250" s="13">
        <f>G250+H250+I250</f>
        <v>65</v>
      </c>
      <c r="K250" s="5">
        <v>30</v>
      </c>
      <c r="L250" s="2">
        <v>20</v>
      </c>
      <c r="M250" s="13">
        <f>K250+L250</f>
        <v>50</v>
      </c>
      <c r="N250" s="6">
        <f>(MAX(F250,J250,M250))+((100-MAX(F250,J250,M250))*((MEDIAN(F250,J250,M250)+MIN(F250,J250,M250))/200))</f>
        <v>93.625</v>
      </c>
      <c r="O250" s="5" t="str">
        <f>IF(N250&gt;=80,"Red",IF(AND(N250&gt;=55,N250&lt;80),"Orange",IF(AND(N250&gt;=25,N250&lt;55),"Green",IF(N250&lt;25,"White"))))</f>
        <v>Red</v>
      </c>
      <c r="P250" s="7" t="s">
        <v>610</v>
      </c>
      <c r="Q250" s="8"/>
    </row>
    <row r="251" spans="1:17" ht="42" x14ac:dyDescent="0.3">
      <c r="A251" s="3">
        <v>111.2</v>
      </c>
      <c r="B251" s="4" t="s">
        <v>290</v>
      </c>
      <c r="C251" s="7">
        <v>30</v>
      </c>
      <c r="D251" s="7">
        <v>30</v>
      </c>
      <c r="E251" s="7">
        <v>25</v>
      </c>
      <c r="F251" s="13">
        <f>C251+D251+E251</f>
        <v>85</v>
      </c>
      <c r="G251" s="5">
        <v>35</v>
      </c>
      <c r="H251" s="5">
        <v>0</v>
      </c>
      <c r="I251" s="5">
        <v>10</v>
      </c>
      <c r="J251" s="14">
        <f>G251+H251+I251</f>
        <v>45</v>
      </c>
      <c r="K251" s="5">
        <v>30</v>
      </c>
      <c r="L251" s="5">
        <v>20</v>
      </c>
      <c r="M251" s="14">
        <f>K251+L251</f>
        <v>50</v>
      </c>
      <c r="N251" s="6">
        <f>(MAX(F251,J251,M251))+((100-MAX(F251,J251,M251))*((MEDIAN(F251,J251,M251)+MIN(F251,J251,M251))/200))</f>
        <v>92.125</v>
      </c>
      <c r="O251" s="5" t="str">
        <f>IF(N251&gt;=80,"Red",IF(AND(N251&gt;=55,N251&lt;80),"Orange",IF(AND(N251&gt;=25,N251&lt;55),"Green",IF(N251&lt;25,"White"))))</f>
        <v>Red</v>
      </c>
      <c r="P251" s="7" t="s">
        <v>610</v>
      </c>
      <c r="Q251" s="8"/>
    </row>
    <row r="252" spans="1:17" ht="70" x14ac:dyDescent="0.3">
      <c r="A252" s="3">
        <v>112</v>
      </c>
      <c r="B252" s="4" t="s">
        <v>436</v>
      </c>
      <c r="C252" s="7">
        <v>25</v>
      </c>
      <c r="D252" s="5">
        <v>30</v>
      </c>
      <c r="E252" s="5">
        <v>15</v>
      </c>
      <c r="F252" s="13">
        <f>C252+D252+E252</f>
        <v>70</v>
      </c>
      <c r="G252" s="5">
        <v>20</v>
      </c>
      <c r="H252" s="5">
        <v>25</v>
      </c>
      <c r="I252" s="5">
        <v>0</v>
      </c>
      <c r="J252" s="14">
        <f>G252+H252+I252</f>
        <v>45</v>
      </c>
      <c r="K252" s="5">
        <v>30</v>
      </c>
      <c r="L252" s="5">
        <v>10</v>
      </c>
      <c r="M252" s="14">
        <f>K252+L252</f>
        <v>40</v>
      </c>
      <c r="N252" s="6">
        <f>(MAX(F252,J252,M252))+((100-MAX(F252,J252,M252))*((MEDIAN(F252,J252,M252)+MIN(F252,J252,M252))/200))</f>
        <v>82.75</v>
      </c>
      <c r="O252" s="5" t="str">
        <f>IF(N252&gt;=80,"Red",IF(AND(N252&gt;=55,N252&lt;80),"Orange",IF(AND(N252&gt;=25,N252&lt;55),"Green",IF(N252&lt;25,"White"))))</f>
        <v>Red</v>
      </c>
      <c r="P252" s="7" t="s">
        <v>610</v>
      </c>
      <c r="Q252" s="8"/>
    </row>
    <row r="253" spans="1:17" ht="28" x14ac:dyDescent="0.3">
      <c r="A253" s="3">
        <v>113</v>
      </c>
      <c r="B253" s="4" t="s">
        <v>180</v>
      </c>
      <c r="C253" s="7"/>
      <c r="D253" s="5"/>
      <c r="E253" s="5"/>
      <c r="F253" s="14"/>
      <c r="G253" s="7"/>
      <c r="H253" s="7"/>
      <c r="I253" s="7"/>
      <c r="J253" s="14"/>
      <c r="K253" s="7"/>
      <c r="L253" s="7"/>
      <c r="M253" s="14"/>
      <c r="N253" s="6"/>
      <c r="O253" s="5"/>
      <c r="P253" s="7" t="s">
        <v>610</v>
      </c>
      <c r="Q253" s="8"/>
    </row>
    <row r="254" spans="1:17" ht="42" x14ac:dyDescent="0.3">
      <c r="A254" s="3">
        <v>113.1</v>
      </c>
      <c r="B254" s="4" t="s">
        <v>181</v>
      </c>
      <c r="C254" s="7">
        <v>25</v>
      </c>
      <c r="D254" s="5">
        <v>25</v>
      </c>
      <c r="E254" s="5">
        <v>20</v>
      </c>
      <c r="F254" s="13">
        <f>C254+D254+E254</f>
        <v>70</v>
      </c>
      <c r="G254" s="7">
        <v>25</v>
      </c>
      <c r="H254" s="7">
        <v>0</v>
      </c>
      <c r="I254" s="7">
        <v>20</v>
      </c>
      <c r="J254" s="13">
        <f>G254+H254+I254</f>
        <v>45</v>
      </c>
      <c r="K254" s="7">
        <v>0</v>
      </c>
      <c r="L254" s="7">
        <v>0</v>
      </c>
      <c r="M254" s="13">
        <f>K254+L254</f>
        <v>0</v>
      </c>
      <c r="N254" s="6">
        <f>(MAX(F254,J254,M254))+((100-MAX(F254,J254,M254))*((MEDIAN(F254,J254,M254)+MIN(F254,J254,M254))/200))</f>
        <v>76.75</v>
      </c>
      <c r="O254" s="5" t="str">
        <f>IF(N254&gt;=80,"Red",IF(AND(N254&gt;=55,N254&lt;80),"Orange",IF(AND(N254&gt;=25,N254&lt;55),"Green",IF(N254&lt;25,"White"))))</f>
        <v>Orange</v>
      </c>
      <c r="P254" s="7" t="s">
        <v>610</v>
      </c>
      <c r="Q254" s="8"/>
    </row>
    <row r="255" spans="1:17" ht="28" x14ac:dyDescent="0.3">
      <c r="A255" s="3">
        <v>113.2</v>
      </c>
      <c r="B255" s="4" t="s">
        <v>182</v>
      </c>
      <c r="C255" s="7">
        <v>10</v>
      </c>
      <c r="D255" s="5">
        <v>25</v>
      </c>
      <c r="E255" s="5">
        <v>15</v>
      </c>
      <c r="F255" s="13">
        <f>C255+D255+E255</f>
        <v>50</v>
      </c>
      <c r="G255" s="5">
        <v>0</v>
      </c>
      <c r="H255" s="5">
        <v>0</v>
      </c>
      <c r="I255" s="5">
        <v>0</v>
      </c>
      <c r="J255" s="14">
        <f>G255+H255+I255</f>
        <v>0</v>
      </c>
      <c r="K255" s="5">
        <v>0</v>
      </c>
      <c r="L255" s="5">
        <v>0</v>
      </c>
      <c r="M255" s="14">
        <f>K255+L255</f>
        <v>0</v>
      </c>
      <c r="N255" s="6">
        <f>(MAX(F255,J255,M255))+((100-MAX(F255,J255,M255))*((MEDIAN(F255,J255,M255)+MIN(F255,J255,M255))/200))</f>
        <v>50</v>
      </c>
      <c r="O255" s="5" t="str">
        <f>IF(N255&gt;=80,"Red",IF(AND(N255&gt;=55,N255&lt;80),"Orange",IF(AND(N255&gt;=25,N255&lt;55),"Green",IF(N255&lt;25,"White"))))</f>
        <v>Green</v>
      </c>
      <c r="P255" s="7" t="s">
        <v>610</v>
      </c>
      <c r="Q255" s="8"/>
    </row>
    <row r="256" spans="1:17" ht="28" x14ac:dyDescent="0.3">
      <c r="A256" s="3">
        <v>114</v>
      </c>
      <c r="B256" s="4" t="s">
        <v>515</v>
      </c>
      <c r="C256" s="7"/>
      <c r="D256" s="5"/>
      <c r="E256" s="5"/>
      <c r="F256" s="14"/>
      <c r="G256" s="7"/>
      <c r="H256" s="7"/>
      <c r="I256" s="7"/>
      <c r="J256" s="14"/>
      <c r="K256" s="7"/>
      <c r="L256" s="7"/>
      <c r="M256" s="14"/>
      <c r="N256" s="6"/>
      <c r="O256" s="5"/>
      <c r="P256" s="7" t="s">
        <v>610</v>
      </c>
      <c r="Q256" s="8"/>
    </row>
    <row r="257" spans="1:17" ht="28" x14ac:dyDescent="0.3">
      <c r="A257" s="3">
        <v>114.1</v>
      </c>
      <c r="B257" s="4" t="s">
        <v>14</v>
      </c>
      <c r="C257" s="2">
        <v>0</v>
      </c>
      <c r="D257" s="2">
        <v>15</v>
      </c>
      <c r="E257" s="2">
        <v>35</v>
      </c>
      <c r="F257" s="13">
        <f>C257+D257+E257</f>
        <v>50</v>
      </c>
      <c r="G257" s="2">
        <v>35</v>
      </c>
      <c r="H257" s="2">
        <v>25</v>
      </c>
      <c r="I257" s="2">
        <v>35</v>
      </c>
      <c r="J257" s="13">
        <f>G257+H257+I257</f>
        <v>95</v>
      </c>
      <c r="K257" s="2">
        <v>10</v>
      </c>
      <c r="L257" s="2">
        <v>70</v>
      </c>
      <c r="M257" s="13">
        <f t="shared" ref="M257:M262" si="60">K257+L257</f>
        <v>80</v>
      </c>
      <c r="N257" s="6">
        <f>(MAX(F257,J257,M257))+((100-MAX(F257,J257,M257))*((MEDIAN(F257,J257,M257)+MIN(F257,J257,M257))/200))</f>
        <v>98.25</v>
      </c>
      <c r="O257" s="5" t="str">
        <f t="shared" ref="O257:O262" si="61">IF(N257&gt;=80,"Red",IF(AND(N257&gt;=55,N257&lt;80),"Orange",IF(AND(N257&gt;=25,N257&lt;55),"Green",IF(N257&lt;25,"White"))))</f>
        <v>Red</v>
      </c>
      <c r="P257" s="7" t="s">
        <v>610</v>
      </c>
      <c r="Q257" s="8"/>
    </row>
    <row r="258" spans="1:17" ht="28" x14ac:dyDescent="0.3">
      <c r="A258" s="3">
        <v>114.2</v>
      </c>
      <c r="B258" s="4" t="s">
        <v>15</v>
      </c>
      <c r="C258" s="2">
        <v>0</v>
      </c>
      <c r="D258" s="5">
        <v>15</v>
      </c>
      <c r="E258" s="5">
        <v>35</v>
      </c>
      <c r="F258" s="13">
        <v>50</v>
      </c>
      <c r="G258" s="2">
        <v>25</v>
      </c>
      <c r="H258" s="2">
        <v>25</v>
      </c>
      <c r="I258" s="2">
        <v>35</v>
      </c>
      <c r="J258" s="13">
        <v>85</v>
      </c>
      <c r="K258" s="2">
        <v>30</v>
      </c>
      <c r="L258" s="2">
        <v>20</v>
      </c>
      <c r="M258" s="13">
        <f t="shared" si="60"/>
        <v>50</v>
      </c>
      <c r="N258" s="6">
        <v>92.5</v>
      </c>
      <c r="O258" s="5" t="str">
        <f t="shared" si="61"/>
        <v>Red</v>
      </c>
      <c r="P258" s="7" t="s">
        <v>610</v>
      </c>
      <c r="Q258" s="8"/>
    </row>
    <row r="259" spans="1:17" ht="28" x14ac:dyDescent="0.3">
      <c r="A259" s="3">
        <v>114.3</v>
      </c>
      <c r="B259" s="4" t="s">
        <v>420</v>
      </c>
      <c r="C259" s="2">
        <v>0</v>
      </c>
      <c r="D259" s="5">
        <v>15</v>
      </c>
      <c r="E259" s="5">
        <v>30</v>
      </c>
      <c r="F259" s="13">
        <f>C259+D259+E259</f>
        <v>45</v>
      </c>
      <c r="G259" s="2">
        <v>25</v>
      </c>
      <c r="H259" s="2">
        <v>25</v>
      </c>
      <c r="I259" s="2">
        <v>25</v>
      </c>
      <c r="J259" s="13">
        <f>G259+H259+I259</f>
        <v>75</v>
      </c>
      <c r="K259" s="2">
        <v>10</v>
      </c>
      <c r="L259" s="2">
        <v>50</v>
      </c>
      <c r="M259" s="13">
        <f t="shared" si="60"/>
        <v>60</v>
      </c>
      <c r="N259" s="6">
        <f>(MAX(F259,J259,M259))+((100-MAX(F259,J259,M259))*((MEDIAN(F259,J259,M259)+MIN(F259,J259,M259))/200))</f>
        <v>88.125</v>
      </c>
      <c r="O259" s="5" t="str">
        <f t="shared" si="61"/>
        <v>Red</v>
      </c>
      <c r="P259" s="7" t="s">
        <v>610</v>
      </c>
      <c r="Q259" s="8"/>
    </row>
    <row r="260" spans="1:17" ht="42" x14ac:dyDescent="0.3">
      <c r="A260" s="3">
        <v>114.4</v>
      </c>
      <c r="B260" s="4" t="s">
        <v>486</v>
      </c>
      <c r="C260" s="2">
        <v>0</v>
      </c>
      <c r="D260" s="5">
        <v>30</v>
      </c>
      <c r="E260" s="5">
        <v>35</v>
      </c>
      <c r="F260" s="13">
        <f>C260+D260+E260</f>
        <v>65</v>
      </c>
      <c r="G260" s="2">
        <v>25</v>
      </c>
      <c r="H260" s="2">
        <v>0</v>
      </c>
      <c r="I260" s="2">
        <v>25</v>
      </c>
      <c r="J260" s="13">
        <f>G260+H260+I260</f>
        <v>50</v>
      </c>
      <c r="K260" s="5">
        <v>25</v>
      </c>
      <c r="L260" s="2">
        <v>20</v>
      </c>
      <c r="M260" s="13">
        <f t="shared" si="60"/>
        <v>45</v>
      </c>
      <c r="N260" s="6">
        <f>(MAX(F260,J260,M260))+((100-MAX(F260,J260,M260))*((MEDIAN(F260,J260,M260)+MIN(F260,J260,M260))/200))</f>
        <v>81.625</v>
      </c>
      <c r="O260" s="5" t="str">
        <f t="shared" si="61"/>
        <v>Red</v>
      </c>
      <c r="P260" s="7" t="s">
        <v>610</v>
      </c>
      <c r="Q260" s="8" t="s">
        <v>516</v>
      </c>
    </row>
    <row r="261" spans="1:17" ht="28" x14ac:dyDescent="0.3">
      <c r="A261" s="3">
        <v>114.5</v>
      </c>
      <c r="B261" s="4" t="s">
        <v>485</v>
      </c>
      <c r="C261" s="2">
        <v>0</v>
      </c>
      <c r="D261" s="5">
        <v>30</v>
      </c>
      <c r="E261" s="5">
        <v>35</v>
      </c>
      <c r="F261" s="13">
        <f>C261+D261+E261</f>
        <v>65</v>
      </c>
      <c r="G261" s="2">
        <v>25</v>
      </c>
      <c r="H261" s="2">
        <v>0</v>
      </c>
      <c r="I261" s="2">
        <v>25</v>
      </c>
      <c r="J261" s="13">
        <f>G261+H261+I261</f>
        <v>50</v>
      </c>
      <c r="K261" s="5">
        <v>25</v>
      </c>
      <c r="L261" s="2">
        <v>10</v>
      </c>
      <c r="M261" s="13">
        <f t="shared" si="60"/>
        <v>35</v>
      </c>
      <c r="N261" s="6">
        <f>(MAX(F261,J261,M261))+((100-MAX(F261,J261,M261))*((MEDIAN(F261,J261,M261)+MIN(F261,J261,M261))/200))</f>
        <v>79.875</v>
      </c>
      <c r="O261" s="5" t="str">
        <f t="shared" si="61"/>
        <v>Orange</v>
      </c>
      <c r="P261" s="7" t="s">
        <v>610</v>
      </c>
      <c r="Q261" s="8"/>
    </row>
    <row r="262" spans="1:17" ht="28" x14ac:dyDescent="0.3">
      <c r="A262" s="3">
        <v>114.6</v>
      </c>
      <c r="B262" s="4" t="s">
        <v>419</v>
      </c>
      <c r="C262" s="2">
        <v>0</v>
      </c>
      <c r="D262" s="5">
        <v>15</v>
      </c>
      <c r="E262" s="5">
        <v>35</v>
      </c>
      <c r="F262" s="13">
        <f>C262+D262+E262</f>
        <v>50</v>
      </c>
      <c r="G262" s="2">
        <v>25</v>
      </c>
      <c r="H262" s="2">
        <v>0</v>
      </c>
      <c r="I262" s="2">
        <v>20</v>
      </c>
      <c r="J262" s="13">
        <f>G262+H262+I262</f>
        <v>45</v>
      </c>
      <c r="K262" s="5">
        <v>0</v>
      </c>
      <c r="L262" s="2">
        <v>0</v>
      </c>
      <c r="M262" s="13">
        <f t="shared" si="60"/>
        <v>0</v>
      </c>
      <c r="N262" s="6">
        <f>(MAX(F262,J262,M262))+((100-MAX(F262,J262,M262))*((MEDIAN(F262,J262,M262)+MIN(F262,J262,M262))/200))</f>
        <v>61.25</v>
      </c>
      <c r="O262" s="5" t="str">
        <f t="shared" si="61"/>
        <v>Orange</v>
      </c>
      <c r="P262" s="7" t="s">
        <v>610</v>
      </c>
      <c r="Q262" s="8"/>
    </row>
    <row r="263" spans="1:17" ht="28" x14ac:dyDescent="0.3">
      <c r="A263" s="3">
        <v>115</v>
      </c>
      <c r="B263" s="4" t="s">
        <v>31</v>
      </c>
      <c r="C263" s="7"/>
      <c r="D263" s="7"/>
      <c r="E263" s="7"/>
      <c r="F263" s="14"/>
      <c r="G263" s="7"/>
      <c r="H263" s="7"/>
      <c r="I263" s="7"/>
      <c r="J263" s="13"/>
      <c r="K263" s="7"/>
      <c r="L263" s="7"/>
      <c r="M263" s="13"/>
      <c r="N263" s="6"/>
      <c r="O263" s="5"/>
      <c r="P263" s="7" t="s">
        <v>610</v>
      </c>
      <c r="Q263" s="8"/>
    </row>
    <row r="264" spans="1:17" ht="28" x14ac:dyDescent="0.3">
      <c r="A264" s="3">
        <v>115.1</v>
      </c>
      <c r="B264" s="4" t="s">
        <v>329</v>
      </c>
      <c r="C264" s="2">
        <v>30</v>
      </c>
      <c r="D264" s="2">
        <v>30</v>
      </c>
      <c r="E264" s="2">
        <v>35</v>
      </c>
      <c r="F264" s="13">
        <f>C264+D264+E264</f>
        <v>95</v>
      </c>
      <c r="G264" s="2">
        <v>30</v>
      </c>
      <c r="H264" s="2">
        <v>0</v>
      </c>
      <c r="I264" s="2">
        <v>35</v>
      </c>
      <c r="J264" s="13">
        <f>G264+H264+I264</f>
        <v>65</v>
      </c>
      <c r="K264" s="5">
        <v>30</v>
      </c>
      <c r="L264" s="2">
        <v>30</v>
      </c>
      <c r="M264" s="13">
        <f>K264+L264</f>
        <v>60</v>
      </c>
      <c r="N264" s="6">
        <f>(MAX(F264,J264,M264))+((100-MAX(F264,J264,M264))*((MEDIAN(F264,J264,M264)+MIN(F264,J264,M264))/200))</f>
        <v>98.125</v>
      </c>
      <c r="O264" s="5" t="str">
        <f>IF(N264&gt;=80,"Red",IF(AND(N264&gt;=55,N264&lt;80),"Orange",IF(AND(N264&gt;=25,N264&lt;55),"Green",IF(N264&lt;25,"White"))))</f>
        <v>Red</v>
      </c>
      <c r="P264" s="7" t="s">
        <v>610</v>
      </c>
      <c r="Q264" s="8"/>
    </row>
    <row r="265" spans="1:17" ht="42" x14ac:dyDescent="0.3">
      <c r="A265" s="3">
        <v>115.2</v>
      </c>
      <c r="B265" s="4" t="s">
        <v>328</v>
      </c>
      <c r="C265" s="2">
        <v>30</v>
      </c>
      <c r="D265" s="2">
        <v>20</v>
      </c>
      <c r="E265" s="2">
        <v>35</v>
      </c>
      <c r="F265" s="13">
        <f>C265+D265+E265</f>
        <v>85</v>
      </c>
      <c r="G265" s="2">
        <v>30</v>
      </c>
      <c r="H265" s="2">
        <v>0</v>
      </c>
      <c r="I265" s="2">
        <v>35</v>
      </c>
      <c r="J265" s="13">
        <f>G265+H265+I265</f>
        <v>65</v>
      </c>
      <c r="K265" s="2">
        <v>10</v>
      </c>
      <c r="L265" s="2">
        <v>30</v>
      </c>
      <c r="M265" s="13">
        <f>K265+L265</f>
        <v>40</v>
      </c>
      <c r="N265" s="6">
        <f>(MAX(F265,J265,M265))+((100-MAX(F265,J265,M265))*((MEDIAN(F265,J265,M265)+MIN(F265,J265,M265))/200))</f>
        <v>92.875</v>
      </c>
      <c r="O265" s="5" t="str">
        <f>IF(N265&gt;=80,"Red",IF(AND(N265&gt;=55,N265&lt;80),"Orange",IF(AND(N265&gt;=25,N265&lt;55),"Green",IF(N265&lt;25,"White"))))</f>
        <v>Red</v>
      </c>
      <c r="P265" s="7" t="s">
        <v>610</v>
      </c>
      <c r="Q265" s="8"/>
    </row>
    <row r="266" spans="1:17" ht="42" x14ac:dyDescent="0.3">
      <c r="A266" s="3">
        <v>115.3</v>
      </c>
      <c r="B266" s="4" t="s">
        <v>327</v>
      </c>
      <c r="C266" s="2">
        <v>30</v>
      </c>
      <c r="D266" s="2">
        <v>20</v>
      </c>
      <c r="E266" s="2">
        <v>35</v>
      </c>
      <c r="F266" s="13">
        <f>C266+D266+E266</f>
        <v>85</v>
      </c>
      <c r="G266" s="2">
        <v>30</v>
      </c>
      <c r="H266" s="2">
        <v>0</v>
      </c>
      <c r="I266" s="2">
        <v>35</v>
      </c>
      <c r="J266" s="13">
        <f>G266+H266+I266</f>
        <v>65</v>
      </c>
      <c r="K266" s="2">
        <v>10</v>
      </c>
      <c r="L266" s="2">
        <v>30</v>
      </c>
      <c r="M266" s="13">
        <f>K266+L266</f>
        <v>40</v>
      </c>
      <c r="N266" s="6">
        <f>(MAX(F266,J266,M266))+((100-MAX(F266,J266,M266))*((MEDIAN(F266,J266,M266)+MIN(F266,J266,M266))/200))</f>
        <v>92.875</v>
      </c>
      <c r="O266" s="5" t="str">
        <f>IF(N266&gt;=80,"Red",IF(AND(N266&gt;=55,N266&lt;80),"Orange",IF(AND(N266&gt;=25,N266&lt;55),"Green",IF(N266&lt;25,"White"))))</f>
        <v>Red</v>
      </c>
      <c r="P266" s="7" t="s">
        <v>610</v>
      </c>
      <c r="Q266" s="8"/>
    </row>
    <row r="267" spans="1:17" ht="28" x14ac:dyDescent="0.3">
      <c r="A267" s="3">
        <v>116</v>
      </c>
      <c r="B267" s="4" t="s">
        <v>90</v>
      </c>
      <c r="C267" s="7"/>
      <c r="D267" s="7"/>
      <c r="E267" s="7"/>
      <c r="F267" s="14"/>
      <c r="G267" s="7"/>
      <c r="H267" s="7"/>
      <c r="I267" s="7"/>
      <c r="J267" s="14"/>
      <c r="K267" s="7"/>
      <c r="L267" s="7"/>
      <c r="M267" s="14"/>
      <c r="N267" s="6"/>
      <c r="O267" s="5"/>
      <c r="P267" s="7" t="s">
        <v>610</v>
      </c>
      <c r="Q267" s="8"/>
    </row>
    <row r="268" spans="1:17" ht="28" x14ac:dyDescent="0.3">
      <c r="A268" s="3">
        <v>116.1</v>
      </c>
      <c r="B268" s="4" t="s">
        <v>91</v>
      </c>
      <c r="C268" s="2">
        <v>30</v>
      </c>
      <c r="D268" s="2">
        <v>15</v>
      </c>
      <c r="E268" s="2">
        <v>35</v>
      </c>
      <c r="F268" s="13">
        <f>C268+D268+E268</f>
        <v>80</v>
      </c>
      <c r="G268" s="2">
        <v>25</v>
      </c>
      <c r="H268" s="2">
        <v>0</v>
      </c>
      <c r="I268" s="2">
        <v>25</v>
      </c>
      <c r="J268" s="13">
        <f>G268+H268+I268</f>
        <v>50</v>
      </c>
      <c r="K268" s="2">
        <v>10</v>
      </c>
      <c r="L268" s="2">
        <v>30</v>
      </c>
      <c r="M268" s="13">
        <f>K268+L268</f>
        <v>40</v>
      </c>
      <c r="N268" s="6">
        <f>(MAX(F268,J268,M268))+((100-MAX(F268,J268,M268))*((MEDIAN(F268,J268,M268)+MIN(F268,J268,M268))/200))</f>
        <v>89</v>
      </c>
      <c r="O268" s="5" t="str">
        <f>IF(N268&gt;=80,"Red",IF(AND(N268&gt;=55,N268&lt;80),"Orange",IF(AND(N268&gt;=25,N268&lt;55),"Green",IF(N268&lt;25,"White"))))</f>
        <v>Red</v>
      </c>
      <c r="P268" s="7" t="s">
        <v>610</v>
      </c>
      <c r="Q268" s="8"/>
    </row>
    <row r="269" spans="1:17" ht="28" x14ac:dyDescent="0.3">
      <c r="A269" s="3">
        <v>116.2</v>
      </c>
      <c r="B269" s="4" t="s">
        <v>92</v>
      </c>
      <c r="C269" s="2">
        <v>25</v>
      </c>
      <c r="D269" s="2">
        <v>15</v>
      </c>
      <c r="E269" s="2">
        <v>35</v>
      </c>
      <c r="F269" s="13">
        <f>C269+D269+E269</f>
        <v>75</v>
      </c>
      <c r="G269" s="2">
        <v>25</v>
      </c>
      <c r="H269" s="2">
        <v>0</v>
      </c>
      <c r="I269" s="2">
        <v>25</v>
      </c>
      <c r="J269" s="13">
        <f>G269+H269+I269</f>
        <v>50</v>
      </c>
      <c r="K269" s="2">
        <v>10</v>
      </c>
      <c r="L269" s="2">
        <v>30</v>
      </c>
      <c r="M269" s="13">
        <f>K269+L269</f>
        <v>40</v>
      </c>
      <c r="N269" s="6">
        <f>(MAX(F269,J269,M269))+((100-MAX(F269,J269,M269))*((MEDIAN(F269,J269,M269)+MIN(F269,J269,M269))/200))</f>
        <v>86.25</v>
      </c>
      <c r="O269" s="5" t="str">
        <f>IF(N269&gt;=80,"Red",IF(AND(N269&gt;=55,N269&lt;80),"Orange",IF(AND(N269&gt;=25,N269&lt;55),"Green",IF(N269&lt;25,"White"))))</f>
        <v>Red</v>
      </c>
      <c r="P269" s="7" t="s">
        <v>610</v>
      </c>
      <c r="Q269" s="8"/>
    </row>
    <row r="270" spans="1:17" ht="28" x14ac:dyDescent="0.3">
      <c r="A270" s="3">
        <v>116.3</v>
      </c>
      <c r="B270" s="4" t="s">
        <v>93</v>
      </c>
      <c r="C270" s="2">
        <v>25</v>
      </c>
      <c r="D270" s="2">
        <v>15</v>
      </c>
      <c r="E270" s="2">
        <v>20</v>
      </c>
      <c r="F270" s="13">
        <f>C270+D270+E270</f>
        <v>60</v>
      </c>
      <c r="G270" s="2">
        <v>25</v>
      </c>
      <c r="H270" s="2">
        <v>0</v>
      </c>
      <c r="I270" s="2">
        <v>25</v>
      </c>
      <c r="J270" s="13">
        <f>G270+H270+I270</f>
        <v>50</v>
      </c>
      <c r="K270" s="2">
        <v>10</v>
      </c>
      <c r="L270" s="2">
        <v>10</v>
      </c>
      <c r="M270" s="13">
        <f>K270+L270</f>
        <v>20</v>
      </c>
      <c r="N270" s="6">
        <f>(MAX(F270,J270,M270))+((100-MAX(F270,J270,M270))*((MEDIAN(F270,J270,M270)+MIN(F270,J270,M270))/200))</f>
        <v>74</v>
      </c>
      <c r="O270" s="5" t="str">
        <f>IF(N270&gt;=80,"Red",IF(AND(N270&gt;=55,N270&lt;80),"Orange",IF(AND(N270&gt;=25,N270&lt;55),"Green",IF(N270&lt;25,"White"))))</f>
        <v>Orange</v>
      </c>
      <c r="P270" s="7" t="s">
        <v>610</v>
      </c>
      <c r="Q270" s="8"/>
    </row>
    <row r="271" spans="1:17" ht="28" x14ac:dyDescent="0.3">
      <c r="A271" s="3">
        <v>117</v>
      </c>
      <c r="B271" s="4" t="s">
        <v>373</v>
      </c>
      <c r="C271" s="7"/>
      <c r="D271" s="5"/>
      <c r="E271" s="5"/>
      <c r="F271" s="14"/>
      <c r="G271" s="7"/>
      <c r="H271" s="5"/>
      <c r="I271" s="5"/>
      <c r="J271" s="14"/>
      <c r="K271" s="7"/>
      <c r="L271" s="7"/>
      <c r="M271" s="14"/>
      <c r="N271" s="6"/>
      <c r="O271" s="5"/>
      <c r="P271" s="7" t="s">
        <v>610</v>
      </c>
      <c r="Q271" s="8"/>
    </row>
    <row r="272" spans="1:17" ht="42" x14ac:dyDescent="0.3">
      <c r="A272" s="3">
        <v>117.1</v>
      </c>
      <c r="B272" s="4" t="s">
        <v>32</v>
      </c>
      <c r="C272" s="7">
        <v>35</v>
      </c>
      <c r="D272" s="5">
        <v>30</v>
      </c>
      <c r="E272" s="5">
        <v>20</v>
      </c>
      <c r="F272" s="13">
        <f>C272+D272+E272</f>
        <v>85</v>
      </c>
      <c r="G272" s="7">
        <v>25</v>
      </c>
      <c r="H272" s="5">
        <v>20</v>
      </c>
      <c r="I272" s="5">
        <v>25</v>
      </c>
      <c r="J272" s="13">
        <f>G272+H272+I272</f>
        <v>70</v>
      </c>
      <c r="K272" s="7">
        <v>25</v>
      </c>
      <c r="L272" s="7">
        <v>30</v>
      </c>
      <c r="M272" s="13">
        <f>K272+L272</f>
        <v>55</v>
      </c>
      <c r="N272" s="6">
        <f>(MAX(F272,J272,M272))+((100-MAX(F272,J272,M272))*((MEDIAN(F272,J272,M272)+MIN(F272,J272,M272))/200))</f>
        <v>94.375</v>
      </c>
      <c r="O272" s="5" t="str">
        <f>IF(N272&gt;=80,"Red",IF(AND(N272&gt;=55,N272&lt;80),"Orange",IF(AND(N272&gt;=25,N272&lt;55),"Green",IF(N272&lt;25,"White"))))</f>
        <v>Red</v>
      </c>
      <c r="P272" s="7" t="s">
        <v>610</v>
      </c>
      <c r="Q272" s="8" t="s">
        <v>522</v>
      </c>
    </row>
    <row r="273" spans="1:17" ht="42" x14ac:dyDescent="0.3">
      <c r="A273" s="3">
        <v>117.2</v>
      </c>
      <c r="B273" s="4" t="s">
        <v>431</v>
      </c>
      <c r="C273" s="7">
        <v>25</v>
      </c>
      <c r="D273" s="5">
        <v>30</v>
      </c>
      <c r="E273" s="5">
        <v>20</v>
      </c>
      <c r="F273" s="13">
        <f>C273+D273+E273</f>
        <v>75</v>
      </c>
      <c r="G273" s="7">
        <v>25</v>
      </c>
      <c r="H273" s="5">
        <v>20</v>
      </c>
      <c r="I273" s="5">
        <v>25</v>
      </c>
      <c r="J273" s="13">
        <f>G273+H273+I273</f>
        <v>70</v>
      </c>
      <c r="K273" s="7">
        <v>20</v>
      </c>
      <c r="L273" s="7">
        <v>20</v>
      </c>
      <c r="M273" s="13">
        <f>K273+L273</f>
        <v>40</v>
      </c>
      <c r="N273" s="6">
        <f>(MAX(F273,J273,M273))+((100-MAX(F273,J273,M273))*((MEDIAN(F273,J273,M273)+MIN(F273,J273,M273))/200))</f>
        <v>88.75</v>
      </c>
      <c r="O273" s="5" t="str">
        <f>IF(N273&gt;=80,"Red",IF(AND(N273&gt;=55,N273&lt;80),"Orange",IF(AND(N273&gt;=25,N273&lt;55),"Green",IF(N273&lt;25,"White"))))</f>
        <v>Red</v>
      </c>
      <c r="P273" s="7" t="s">
        <v>610</v>
      </c>
      <c r="Q273" s="8" t="s">
        <v>522</v>
      </c>
    </row>
    <row r="274" spans="1:17" ht="42" x14ac:dyDescent="0.3">
      <c r="A274" s="3">
        <v>117.3</v>
      </c>
      <c r="B274" s="4" t="s">
        <v>33</v>
      </c>
      <c r="C274" s="7">
        <v>0</v>
      </c>
      <c r="D274" s="5">
        <v>15</v>
      </c>
      <c r="E274" s="5">
        <v>15</v>
      </c>
      <c r="F274" s="13">
        <f>C274+D274+E274</f>
        <v>30</v>
      </c>
      <c r="G274" s="7">
        <v>20</v>
      </c>
      <c r="H274" s="5">
        <v>30</v>
      </c>
      <c r="I274" s="5">
        <v>25</v>
      </c>
      <c r="J274" s="13">
        <f>G274+H274+I274</f>
        <v>75</v>
      </c>
      <c r="K274" s="2">
        <v>10</v>
      </c>
      <c r="L274" s="7">
        <v>20</v>
      </c>
      <c r="M274" s="13">
        <f>K274+L274</f>
        <v>30</v>
      </c>
      <c r="N274" s="6">
        <f>(MAX(F274,J274,M274))+((100-MAX(F274,J274,M274))*((MEDIAN(F274,J274,M274)+MIN(F274,J274,M274))/200))</f>
        <v>82.5</v>
      </c>
      <c r="O274" s="5" t="str">
        <f>IF(N274&gt;=80,"Red",IF(AND(N274&gt;=55,N274&lt;80),"Orange",IF(AND(N274&gt;=25,N274&lt;55),"Green",IF(N274&lt;25,"White"))))</f>
        <v>Red</v>
      </c>
      <c r="P274" s="7" t="s">
        <v>610</v>
      </c>
      <c r="Q274" s="8" t="s">
        <v>522</v>
      </c>
    </row>
    <row r="275" spans="1:17" ht="28" x14ac:dyDescent="0.3">
      <c r="A275" s="3">
        <v>117.4</v>
      </c>
      <c r="B275" s="4" t="s">
        <v>374</v>
      </c>
      <c r="C275" s="7">
        <v>20</v>
      </c>
      <c r="D275" s="7">
        <v>30</v>
      </c>
      <c r="E275" s="7">
        <v>15</v>
      </c>
      <c r="F275" s="13">
        <f>C275+D275+E275</f>
        <v>65</v>
      </c>
      <c r="G275" s="7">
        <v>0</v>
      </c>
      <c r="H275" s="7">
        <v>20</v>
      </c>
      <c r="I275" s="7">
        <v>0</v>
      </c>
      <c r="J275" s="13">
        <f>G275+H275+I275</f>
        <v>20</v>
      </c>
      <c r="K275" s="5">
        <v>30</v>
      </c>
      <c r="L275" s="7">
        <v>20</v>
      </c>
      <c r="M275" s="13">
        <f>K275+L275</f>
        <v>50</v>
      </c>
      <c r="N275" s="6">
        <f>(MAX(F275,J275,M275))+((100-MAX(F275,J275,M275))*((MEDIAN(F275,J275,M275)+MIN(F275,J275,M275))/200))</f>
        <v>77.25</v>
      </c>
      <c r="O275" s="5" t="str">
        <f>IF(N275&gt;=80,"Red",IF(AND(N275&gt;=55,N275&lt;80),"Orange",IF(AND(N275&gt;=25,N275&lt;55),"Green",IF(N275&lt;25,"White"))))</f>
        <v>Orange</v>
      </c>
      <c r="P275" s="7" t="s">
        <v>610</v>
      </c>
      <c r="Q275" s="8"/>
    </row>
    <row r="276" spans="1:17" ht="28" x14ac:dyDescent="0.3">
      <c r="A276" s="3">
        <v>118</v>
      </c>
      <c r="B276" s="4" t="s">
        <v>53</v>
      </c>
      <c r="C276" s="5"/>
      <c r="D276" s="5"/>
      <c r="E276" s="5"/>
      <c r="F276" s="14"/>
      <c r="G276" s="5"/>
      <c r="H276" s="5"/>
      <c r="I276" s="5"/>
      <c r="J276" s="14"/>
      <c r="K276" s="5"/>
      <c r="L276" s="5"/>
      <c r="M276" s="14"/>
      <c r="N276" s="6"/>
      <c r="O276" s="5"/>
      <c r="P276" s="7" t="s">
        <v>610</v>
      </c>
      <c r="Q276" s="8"/>
    </row>
    <row r="277" spans="1:17" ht="28" x14ac:dyDescent="0.3">
      <c r="A277" s="3">
        <v>118.1</v>
      </c>
      <c r="B277" s="4" t="s">
        <v>54</v>
      </c>
      <c r="C277" s="2">
        <v>30</v>
      </c>
      <c r="D277" s="5">
        <v>30</v>
      </c>
      <c r="E277" s="5">
        <v>20</v>
      </c>
      <c r="F277" s="13">
        <f t="shared" ref="F277:F284" si="62">C277+D277+E277</f>
        <v>80</v>
      </c>
      <c r="G277" s="2">
        <v>30</v>
      </c>
      <c r="H277" s="5">
        <v>25</v>
      </c>
      <c r="I277" s="5">
        <v>25</v>
      </c>
      <c r="J277" s="13">
        <f t="shared" ref="J277:J284" si="63">G277+H277+I277</f>
        <v>80</v>
      </c>
      <c r="K277" s="5">
        <v>30</v>
      </c>
      <c r="L277" s="2">
        <v>30</v>
      </c>
      <c r="M277" s="13">
        <f t="shared" ref="M277:M284" si="64">K277+L277</f>
        <v>60</v>
      </c>
      <c r="N277" s="6">
        <f t="shared" ref="N277:N284" si="65">(MAX(F277,J277,M277))+((100-MAX(F277,J277,M277))*((MEDIAN(F277,J277,M277)+MIN(F277,J277,M277))/200))</f>
        <v>94</v>
      </c>
      <c r="O277" s="5" t="str">
        <f t="shared" ref="O277:O284" si="66">IF(N277&gt;=80,"Red",IF(AND(N277&gt;=55,N277&lt;80),"Orange",IF(AND(N277&gt;=25,N277&lt;55),"Green",IF(N277&lt;25,"White"))))</f>
        <v>Red</v>
      </c>
      <c r="P277" s="7" t="s">
        <v>610</v>
      </c>
      <c r="Q277" s="8"/>
    </row>
    <row r="278" spans="1:17" ht="42" x14ac:dyDescent="0.3">
      <c r="A278" s="3">
        <v>118.2</v>
      </c>
      <c r="B278" s="4" t="s">
        <v>437</v>
      </c>
      <c r="C278" s="2">
        <v>20</v>
      </c>
      <c r="D278" s="5">
        <v>30</v>
      </c>
      <c r="E278" s="5">
        <v>20</v>
      </c>
      <c r="F278" s="13">
        <f t="shared" si="62"/>
        <v>70</v>
      </c>
      <c r="G278" s="2">
        <v>30</v>
      </c>
      <c r="H278" s="5">
        <v>25</v>
      </c>
      <c r="I278" s="5">
        <v>25</v>
      </c>
      <c r="J278" s="13">
        <f t="shared" si="63"/>
        <v>80</v>
      </c>
      <c r="K278" s="7">
        <v>20</v>
      </c>
      <c r="L278" s="2">
        <v>20</v>
      </c>
      <c r="M278" s="13">
        <f t="shared" si="64"/>
        <v>40</v>
      </c>
      <c r="N278" s="6">
        <f t="shared" si="65"/>
        <v>91</v>
      </c>
      <c r="O278" s="5" t="str">
        <f t="shared" si="66"/>
        <v>Red</v>
      </c>
      <c r="P278" s="7" t="s">
        <v>610</v>
      </c>
      <c r="Q278" s="8"/>
    </row>
    <row r="279" spans="1:17" ht="42" x14ac:dyDescent="0.3">
      <c r="A279" s="3">
        <v>118.3</v>
      </c>
      <c r="B279" s="4" t="s">
        <v>434</v>
      </c>
      <c r="C279" s="7">
        <v>20</v>
      </c>
      <c r="D279" s="5">
        <v>30</v>
      </c>
      <c r="E279" s="5">
        <v>20</v>
      </c>
      <c r="F279" s="13">
        <f t="shared" si="62"/>
        <v>70</v>
      </c>
      <c r="G279" s="7">
        <v>25</v>
      </c>
      <c r="H279" s="5">
        <v>20</v>
      </c>
      <c r="I279" s="5">
        <v>25</v>
      </c>
      <c r="J279" s="13">
        <f t="shared" si="63"/>
        <v>70</v>
      </c>
      <c r="K279" s="7">
        <v>20</v>
      </c>
      <c r="L279" s="7">
        <v>20</v>
      </c>
      <c r="M279" s="13">
        <f t="shared" si="64"/>
        <v>40</v>
      </c>
      <c r="N279" s="6">
        <f t="shared" si="65"/>
        <v>86.5</v>
      </c>
      <c r="O279" s="5" t="str">
        <f t="shared" si="66"/>
        <v>Red</v>
      </c>
      <c r="P279" s="7" t="s">
        <v>610</v>
      </c>
      <c r="Q279" s="8"/>
    </row>
    <row r="280" spans="1:17" ht="42" x14ac:dyDescent="0.3">
      <c r="A280" s="3">
        <v>118.4</v>
      </c>
      <c r="B280" s="4" t="s">
        <v>435</v>
      </c>
      <c r="C280" s="7">
        <v>20</v>
      </c>
      <c r="D280" s="5">
        <v>30</v>
      </c>
      <c r="E280" s="5">
        <v>20</v>
      </c>
      <c r="F280" s="13">
        <f t="shared" si="62"/>
        <v>70</v>
      </c>
      <c r="G280" s="7">
        <v>0</v>
      </c>
      <c r="H280" s="5">
        <v>20</v>
      </c>
      <c r="I280" s="5">
        <v>0</v>
      </c>
      <c r="J280" s="13">
        <f t="shared" si="63"/>
        <v>20</v>
      </c>
      <c r="K280" s="7">
        <v>20</v>
      </c>
      <c r="L280" s="7">
        <v>20</v>
      </c>
      <c r="M280" s="13">
        <f t="shared" si="64"/>
        <v>40</v>
      </c>
      <c r="N280" s="6">
        <f t="shared" si="65"/>
        <v>79</v>
      </c>
      <c r="O280" s="5" t="str">
        <f t="shared" si="66"/>
        <v>Orange</v>
      </c>
      <c r="P280" s="7" t="s">
        <v>610</v>
      </c>
      <c r="Q280" s="8"/>
    </row>
    <row r="281" spans="1:17" ht="56" x14ac:dyDescent="0.3">
      <c r="A281" s="3">
        <v>118.5</v>
      </c>
      <c r="B281" s="4" t="s">
        <v>55</v>
      </c>
      <c r="C281" s="5">
        <v>20</v>
      </c>
      <c r="D281" s="5">
        <v>30</v>
      </c>
      <c r="E281" s="5">
        <v>20</v>
      </c>
      <c r="F281" s="14">
        <f t="shared" si="62"/>
        <v>70</v>
      </c>
      <c r="G281" s="5">
        <v>30</v>
      </c>
      <c r="H281" s="5">
        <v>20</v>
      </c>
      <c r="I281" s="5">
        <v>0</v>
      </c>
      <c r="J281" s="14">
        <f t="shared" si="63"/>
        <v>50</v>
      </c>
      <c r="K281" s="7">
        <v>20</v>
      </c>
      <c r="L281" s="5">
        <v>20</v>
      </c>
      <c r="M281" s="14">
        <f t="shared" si="64"/>
        <v>40</v>
      </c>
      <c r="N281" s="6">
        <f t="shared" si="65"/>
        <v>83.5</v>
      </c>
      <c r="O281" s="5" t="str">
        <f t="shared" si="66"/>
        <v>Red</v>
      </c>
      <c r="P281" s="7" t="s">
        <v>610</v>
      </c>
      <c r="Q281" s="8" t="s">
        <v>530</v>
      </c>
    </row>
    <row r="282" spans="1:17" ht="56" x14ac:dyDescent="0.3">
      <c r="A282" s="3">
        <v>118.6</v>
      </c>
      <c r="B282" s="4" t="s">
        <v>56</v>
      </c>
      <c r="C282" s="7">
        <v>20</v>
      </c>
      <c r="D282" s="5">
        <v>30</v>
      </c>
      <c r="E282" s="5">
        <v>20</v>
      </c>
      <c r="F282" s="13">
        <f t="shared" si="62"/>
        <v>70</v>
      </c>
      <c r="G282" s="7">
        <v>30</v>
      </c>
      <c r="H282" s="5">
        <v>20</v>
      </c>
      <c r="I282" s="5">
        <v>25</v>
      </c>
      <c r="J282" s="13">
        <f t="shared" si="63"/>
        <v>75</v>
      </c>
      <c r="K282" s="7">
        <v>20</v>
      </c>
      <c r="L282" s="7">
        <v>20</v>
      </c>
      <c r="M282" s="13">
        <f t="shared" si="64"/>
        <v>40</v>
      </c>
      <c r="N282" s="6">
        <f t="shared" si="65"/>
        <v>88.75</v>
      </c>
      <c r="O282" s="5" t="str">
        <f t="shared" si="66"/>
        <v>Red</v>
      </c>
      <c r="P282" s="7" t="s">
        <v>610</v>
      </c>
      <c r="Q282" s="8" t="s">
        <v>530</v>
      </c>
    </row>
    <row r="283" spans="1:17" ht="28" x14ac:dyDescent="0.3">
      <c r="A283" s="3">
        <v>119</v>
      </c>
      <c r="B283" s="4" t="s">
        <v>57</v>
      </c>
      <c r="C283" s="7">
        <v>20</v>
      </c>
      <c r="D283" s="5">
        <v>20</v>
      </c>
      <c r="E283" s="5">
        <v>15</v>
      </c>
      <c r="F283" s="13">
        <f t="shared" si="62"/>
        <v>55</v>
      </c>
      <c r="G283" s="5">
        <v>30</v>
      </c>
      <c r="H283" s="5">
        <v>0</v>
      </c>
      <c r="I283" s="5">
        <v>25</v>
      </c>
      <c r="J283" s="14">
        <f t="shared" si="63"/>
        <v>55</v>
      </c>
      <c r="K283" s="2">
        <v>20</v>
      </c>
      <c r="L283" s="5">
        <v>10</v>
      </c>
      <c r="M283" s="14">
        <f t="shared" si="64"/>
        <v>30</v>
      </c>
      <c r="N283" s="6">
        <f t="shared" si="65"/>
        <v>74.125</v>
      </c>
      <c r="O283" s="5" t="str">
        <f t="shared" si="66"/>
        <v>Orange</v>
      </c>
      <c r="P283" s="7" t="s">
        <v>610</v>
      </c>
      <c r="Q283" s="8"/>
    </row>
    <row r="284" spans="1:17" ht="28" x14ac:dyDescent="0.3">
      <c r="A284" s="3">
        <v>120</v>
      </c>
      <c r="B284" s="4" t="s">
        <v>94</v>
      </c>
      <c r="C284" s="7">
        <v>35</v>
      </c>
      <c r="D284" s="7">
        <v>30</v>
      </c>
      <c r="E284" s="7">
        <v>30</v>
      </c>
      <c r="F284" s="13">
        <f t="shared" si="62"/>
        <v>95</v>
      </c>
      <c r="G284" s="7">
        <v>35</v>
      </c>
      <c r="H284" s="7">
        <v>20</v>
      </c>
      <c r="I284" s="7">
        <v>35</v>
      </c>
      <c r="J284" s="13">
        <f t="shared" si="63"/>
        <v>90</v>
      </c>
      <c r="K284" s="7">
        <v>20</v>
      </c>
      <c r="L284" s="7">
        <v>20</v>
      </c>
      <c r="M284" s="13">
        <f t="shared" si="64"/>
        <v>40</v>
      </c>
      <c r="N284" s="6">
        <f t="shared" si="65"/>
        <v>98.25</v>
      </c>
      <c r="O284" s="5" t="str">
        <f t="shared" si="66"/>
        <v>Red</v>
      </c>
      <c r="P284" s="7" t="s">
        <v>610</v>
      </c>
      <c r="Q284" s="8" t="s">
        <v>512</v>
      </c>
    </row>
    <row r="285" spans="1:17" ht="28" x14ac:dyDescent="0.3">
      <c r="A285" s="3">
        <v>121</v>
      </c>
      <c r="B285" s="4" t="s">
        <v>95</v>
      </c>
      <c r="C285" s="7"/>
      <c r="D285" s="7"/>
      <c r="E285" s="7"/>
      <c r="F285" s="14"/>
      <c r="G285" s="7"/>
      <c r="H285" s="7"/>
      <c r="I285" s="7"/>
      <c r="J285" s="14"/>
      <c r="K285" s="7"/>
      <c r="L285" s="7"/>
      <c r="M285" s="14"/>
      <c r="N285" s="6"/>
      <c r="O285" s="5"/>
      <c r="P285" s="7" t="s">
        <v>610</v>
      </c>
      <c r="Q285" s="8"/>
    </row>
    <row r="286" spans="1:17" ht="28" x14ac:dyDescent="0.3">
      <c r="A286" s="3">
        <v>121.1</v>
      </c>
      <c r="B286" s="4" t="s">
        <v>96</v>
      </c>
      <c r="C286" s="2">
        <v>30</v>
      </c>
      <c r="D286" s="2">
        <v>30</v>
      </c>
      <c r="E286" s="2">
        <v>30</v>
      </c>
      <c r="F286" s="13">
        <f>C286+D286+E286</f>
        <v>90</v>
      </c>
      <c r="G286" s="2">
        <v>35</v>
      </c>
      <c r="H286" s="2">
        <v>25</v>
      </c>
      <c r="I286" s="2">
        <v>35</v>
      </c>
      <c r="J286" s="13">
        <f>G286+H286+I286</f>
        <v>95</v>
      </c>
      <c r="K286" s="5">
        <v>30</v>
      </c>
      <c r="L286" s="2">
        <v>20</v>
      </c>
      <c r="M286" s="13">
        <f>K286+L286</f>
        <v>50</v>
      </c>
      <c r="N286" s="6">
        <f>(MAX(F286,J286,M286))+((100-MAX(F286,J286,M286))*((MEDIAN(F286,J286,M286)+MIN(F286,J286,M286))/200))</f>
        <v>98.5</v>
      </c>
      <c r="O286" s="5" t="str">
        <f>IF(N286&gt;=80,"Red",IF(AND(N286&gt;=55,N286&lt;80),"Orange",IF(AND(N286&gt;=25,N286&lt;55),"Green",IF(N286&lt;25,"White"))))</f>
        <v>Red</v>
      </c>
      <c r="P286" s="7" t="s">
        <v>610</v>
      </c>
      <c r="Q286" s="8"/>
    </row>
    <row r="287" spans="1:17" ht="28" x14ac:dyDescent="0.3">
      <c r="A287" s="3">
        <v>121.2</v>
      </c>
      <c r="B287" s="4" t="s">
        <v>97</v>
      </c>
      <c r="C287" s="2">
        <v>30</v>
      </c>
      <c r="D287" s="2">
        <v>30</v>
      </c>
      <c r="E287" s="2">
        <v>30</v>
      </c>
      <c r="F287" s="13">
        <f>C287+D287+E287</f>
        <v>90</v>
      </c>
      <c r="G287" s="2">
        <v>35</v>
      </c>
      <c r="H287" s="2">
        <v>25</v>
      </c>
      <c r="I287" s="2">
        <v>25</v>
      </c>
      <c r="J287" s="13">
        <f>G287+H287+I287</f>
        <v>85</v>
      </c>
      <c r="K287" s="5">
        <v>30</v>
      </c>
      <c r="L287" s="2">
        <v>20</v>
      </c>
      <c r="M287" s="13">
        <f>K287+L287</f>
        <v>50</v>
      </c>
      <c r="N287" s="6">
        <f>(MAX(F287,J287,M287))+((100-MAX(F287,J287,M287))*((MEDIAN(F287,J287,M287)+MIN(F287,J287,M287))/200))</f>
        <v>96.75</v>
      </c>
      <c r="O287" s="5" t="str">
        <f>IF(N287&gt;=80,"Red",IF(AND(N287&gt;=55,N287&lt;80),"Orange",IF(AND(N287&gt;=25,N287&lt;55),"Green",IF(N287&lt;25,"White"))))</f>
        <v>Red</v>
      </c>
      <c r="P287" s="7" t="s">
        <v>610</v>
      </c>
      <c r="Q287" s="8"/>
    </row>
    <row r="288" spans="1:17" ht="28" x14ac:dyDescent="0.3">
      <c r="A288" s="3">
        <v>121.3</v>
      </c>
      <c r="B288" s="4" t="s">
        <v>98</v>
      </c>
      <c r="C288" s="7">
        <v>25</v>
      </c>
      <c r="D288" s="7">
        <v>30</v>
      </c>
      <c r="E288" s="7">
        <v>20</v>
      </c>
      <c r="F288" s="13">
        <f>C288+D288+E288</f>
        <v>75</v>
      </c>
      <c r="G288" s="7">
        <v>25</v>
      </c>
      <c r="H288" s="7">
        <v>25</v>
      </c>
      <c r="I288" s="7">
        <v>15</v>
      </c>
      <c r="J288" s="13">
        <f>G288+H288+I288</f>
        <v>65</v>
      </c>
      <c r="K288" s="7">
        <v>20</v>
      </c>
      <c r="L288" s="7">
        <v>20</v>
      </c>
      <c r="M288" s="13">
        <f>K288+L288</f>
        <v>40</v>
      </c>
      <c r="N288" s="6">
        <f>(MAX(F288,J288,M288))+((100-MAX(F288,J288,M288))*((MEDIAN(F288,J288,M288)+MIN(F288,J288,M288))/200))</f>
        <v>88.125</v>
      </c>
      <c r="O288" s="5" t="str">
        <f>IF(N288&gt;=80,"Red",IF(AND(N288&gt;=55,N288&lt;80),"Orange",IF(AND(N288&gt;=25,N288&lt;55),"Green",IF(N288&lt;25,"White"))))</f>
        <v>Red</v>
      </c>
      <c r="P288" s="7" t="s">
        <v>610</v>
      </c>
      <c r="Q288" s="8"/>
    </row>
    <row r="289" spans="1:17" ht="42" x14ac:dyDescent="0.3">
      <c r="A289" s="3">
        <v>121.4</v>
      </c>
      <c r="B289" s="4" t="s">
        <v>99</v>
      </c>
      <c r="C289" s="7">
        <v>25</v>
      </c>
      <c r="D289" s="7">
        <v>30</v>
      </c>
      <c r="E289" s="7">
        <v>20</v>
      </c>
      <c r="F289" s="13">
        <f>C289+D289+E289</f>
        <v>75</v>
      </c>
      <c r="G289" s="7">
        <v>25</v>
      </c>
      <c r="H289" s="7">
        <v>25</v>
      </c>
      <c r="I289" s="7">
        <v>10</v>
      </c>
      <c r="J289" s="13">
        <f>G289+H289+I289</f>
        <v>60</v>
      </c>
      <c r="K289" s="7">
        <v>20</v>
      </c>
      <c r="L289" s="7">
        <v>20</v>
      </c>
      <c r="M289" s="13">
        <f>K289+L289</f>
        <v>40</v>
      </c>
      <c r="N289" s="6">
        <f>(MAX(F289,J289,M289))+((100-MAX(F289,J289,M289))*((MEDIAN(F289,J289,M289)+MIN(F289,J289,M289))/200))</f>
        <v>87.5</v>
      </c>
      <c r="O289" s="5" t="str">
        <f>IF(N289&gt;=80,"Red",IF(AND(N289&gt;=55,N289&lt;80),"Orange",IF(AND(N289&gt;=25,N289&lt;55),"Green",IF(N289&lt;25,"White"))))</f>
        <v>Red</v>
      </c>
      <c r="P289" s="7" t="s">
        <v>610</v>
      </c>
      <c r="Q289" s="8"/>
    </row>
    <row r="290" spans="1:17" ht="28" x14ac:dyDescent="0.3">
      <c r="A290" s="3">
        <v>122</v>
      </c>
      <c r="B290" s="4" t="s">
        <v>401</v>
      </c>
      <c r="C290" s="7"/>
      <c r="D290" s="7"/>
      <c r="E290" s="7"/>
      <c r="F290" s="13"/>
      <c r="G290" s="7"/>
      <c r="H290" s="7"/>
      <c r="I290" s="7"/>
      <c r="J290" s="13"/>
      <c r="K290" s="7"/>
      <c r="L290" s="7"/>
      <c r="M290" s="13"/>
      <c r="N290" s="6"/>
      <c r="O290" s="5"/>
      <c r="P290" s="7" t="s">
        <v>610</v>
      </c>
      <c r="Q290" s="8"/>
    </row>
    <row r="291" spans="1:17" ht="28" x14ac:dyDescent="0.3">
      <c r="A291" s="3">
        <v>122.1</v>
      </c>
      <c r="B291" s="4" t="s">
        <v>401</v>
      </c>
      <c r="C291" s="7">
        <v>20</v>
      </c>
      <c r="D291" s="5">
        <v>15</v>
      </c>
      <c r="E291" s="5">
        <v>15</v>
      </c>
      <c r="F291" s="13">
        <f>C291+D291+E291</f>
        <v>50</v>
      </c>
      <c r="G291" s="7">
        <v>25</v>
      </c>
      <c r="H291" s="5">
        <v>20</v>
      </c>
      <c r="I291" s="5">
        <v>10</v>
      </c>
      <c r="J291" s="13">
        <f>G291+H291+I291</f>
        <v>55</v>
      </c>
      <c r="K291" s="5">
        <v>30</v>
      </c>
      <c r="L291" s="7">
        <v>10</v>
      </c>
      <c r="M291" s="13">
        <f>K291+L291</f>
        <v>40</v>
      </c>
      <c r="N291" s="6">
        <f>(MAX(F291,J291,M291))+((100-MAX(F291,J291,M291))*((MEDIAN(F291,J291,M291)+MIN(F291,J291,M291))/200))</f>
        <v>75.25</v>
      </c>
      <c r="O291" s="5" t="str">
        <f>IF(N291&gt;=80,"Red",IF(AND(N291&gt;=55,N291&lt;80),"Orange",IF(AND(N291&gt;=25,N291&lt;55),"Green",IF(N291&lt;25,"White"))))</f>
        <v>Orange</v>
      </c>
      <c r="P291" s="7" t="s">
        <v>610</v>
      </c>
      <c r="Q291" s="8"/>
    </row>
    <row r="292" spans="1:17" ht="42" x14ac:dyDescent="0.3">
      <c r="A292" s="3">
        <v>122.2</v>
      </c>
      <c r="B292" s="4" t="s">
        <v>402</v>
      </c>
      <c r="C292" s="5">
        <v>0</v>
      </c>
      <c r="D292" s="5">
        <v>0</v>
      </c>
      <c r="E292" s="5">
        <v>0</v>
      </c>
      <c r="F292" s="14">
        <f>C292+D292+E292</f>
        <v>0</v>
      </c>
      <c r="G292" s="7">
        <v>0</v>
      </c>
      <c r="H292" s="5">
        <v>25</v>
      </c>
      <c r="I292" s="5">
        <v>0</v>
      </c>
      <c r="J292" s="13">
        <f>G292+H292+I292</f>
        <v>25</v>
      </c>
      <c r="K292" s="7">
        <v>10</v>
      </c>
      <c r="L292" s="7">
        <v>10</v>
      </c>
      <c r="M292" s="13">
        <f>K292+L292</f>
        <v>20</v>
      </c>
      <c r="N292" s="6">
        <f>(MAX(F292,J292,M292))+((100-MAX(F292,J292,M292))*((MEDIAN(F292,J292,M292)+MIN(F292,J292,M292))/200))</f>
        <v>32.5</v>
      </c>
      <c r="O292" s="5" t="str">
        <f>IF(N292&gt;=80,"Red",IF(AND(N292&gt;=55,N292&lt;80),"Orange",IF(AND(N292&gt;=25,N292&lt;55),"Green",IF(N292&lt;25,"White"))))</f>
        <v>Green</v>
      </c>
      <c r="P292" s="7" t="s">
        <v>610</v>
      </c>
      <c r="Q292" s="8"/>
    </row>
    <row r="293" spans="1:17" ht="28" x14ac:dyDescent="0.3">
      <c r="A293" s="3">
        <v>123</v>
      </c>
      <c r="B293" s="4" t="s">
        <v>101</v>
      </c>
      <c r="C293" s="7"/>
      <c r="D293" s="7"/>
      <c r="E293" s="7"/>
      <c r="F293" s="14"/>
      <c r="G293" s="7"/>
      <c r="H293" s="7"/>
      <c r="I293" s="7"/>
      <c r="J293" s="14"/>
      <c r="K293" s="7"/>
      <c r="L293" s="7"/>
      <c r="M293" s="14"/>
      <c r="N293" s="6"/>
      <c r="O293" s="5"/>
      <c r="P293" s="7" t="s">
        <v>610</v>
      </c>
      <c r="Q293" s="8"/>
    </row>
    <row r="294" spans="1:17" ht="28" x14ac:dyDescent="0.3">
      <c r="A294" s="3">
        <v>123.1</v>
      </c>
      <c r="B294" s="4" t="s">
        <v>102</v>
      </c>
      <c r="C294" s="2">
        <v>35</v>
      </c>
      <c r="D294" s="2">
        <v>30</v>
      </c>
      <c r="E294" s="2">
        <v>30</v>
      </c>
      <c r="F294" s="13">
        <f t="shared" ref="F294:F320" si="67">C294+D294+E294</f>
        <v>95</v>
      </c>
      <c r="G294" s="2">
        <v>35</v>
      </c>
      <c r="H294" s="2">
        <v>25</v>
      </c>
      <c r="I294" s="2">
        <v>35</v>
      </c>
      <c r="J294" s="13">
        <f t="shared" ref="J294:J320" si="68">G294+H294+I294</f>
        <v>95</v>
      </c>
      <c r="K294" s="7">
        <v>30</v>
      </c>
      <c r="L294" s="2">
        <v>20</v>
      </c>
      <c r="M294" s="13">
        <f t="shared" ref="M294:M302" si="69">K294+L294</f>
        <v>50</v>
      </c>
      <c r="N294" s="6">
        <f t="shared" ref="N294:N320" si="70">(MAX(F294,J294,M294))+((100-MAX(F294,J294,M294))*((MEDIAN(F294,J294,M294)+MIN(F294,J294,M294))/200))</f>
        <v>98.625</v>
      </c>
      <c r="O294" s="5" t="str">
        <f t="shared" ref="O294:O320" si="71">IF(N294&gt;=80,"Red",IF(AND(N294&gt;=55,N294&lt;80),"Orange",IF(AND(N294&gt;=25,N294&lt;55),"Green",IF(N294&lt;25,"White"))))</f>
        <v>Red</v>
      </c>
      <c r="P294" s="7" t="s">
        <v>610</v>
      </c>
      <c r="Q294" s="8"/>
    </row>
    <row r="295" spans="1:17" ht="28" x14ac:dyDescent="0.3">
      <c r="A295" s="3">
        <v>123.2</v>
      </c>
      <c r="B295" s="4" t="s">
        <v>110</v>
      </c>
      <c r="C295" s="7">
        <v>20</v>
      </c>
      <c r="D295" s="7">
        <v>15</v>
      </c>
      <c r="E295" s="7">
        <v>15</v>
      </c>
      <c r="F295" s="13">
        <f t="shared" si="67"/>
        <v>50</v>
      </c>
      <c r="G295" s="7">
        <v>0</v>
      </c>
      <c r="H295" s="7">
        <v>0</v>
      </c>
      <c r="I295" s="7">
        <v>0</v>
      </c>
      <c r="J295" s="13">
        <f t="shared" si="68"/>
        <v>0</v>
      </c>
      <c r="K295" s="7">
        <v>0</v>
      </c>
      <c r="L295" s="7">
        <v>0</v>
      </c>
      <c r="M295" s="13">
        <f t="shared" si="69"/>
        <v>0</v>
      </c>
      <c r="N295" s="6">
        <f t="shared" si="70"/>
        <v>50</v>
      </c>
      <c r="O295" s="5" t="str">
        <f t="shared" si="71"/>
        <v>Green</v>
      </c>
      <c r="P295" s="7" t="s">
        <v>610</v>
      </c>
      <c r="Q295" s="8"/>
    </row>
    <row r="296" spans="1:17" ht="28" x14ac:dyDescent="0.3">
      <c r="A296" s="3">
        <v>123.2</v>
      </c>
      <c r="B296" s="4" t="s">
        <v>103</v>
      </c>
      <c r="C296" s="7">
        <v>35</v>
      </c>
      <c r="D296" s="7">
        <v>30</v>
      </c>
      <c r="E296" s="7">
        <v>30</v>
      </c>
      <c r="F296" s="13">
        <f t="shared" si="67"/>
        <v>95</v>
      </c>
      <c r="G296" s="7">
        <v>35</v>
      </c>
      <c r="H296" s="7">
        <v>25</v>
      </c>
      <c r="I296" s="7">
        <v>10</v>
      </c>
      <c r="J296" s="13">
        <f t="shared" si="68"/>
        <v>70</v>
      </c>
      <c r="K296" s="7">
        <v>30</v>
      </c>
      <c r="L296" s="7">
        <v>20</v>
      </c>
      <c r="M296" s="13">
        <f t="shared" si="69"/>
        <v>50</v>
      </c>
      <c r="N296" s="6">
        <f t="shared" si="70"/>
        <v>98</v>
      </c>
      <c r="O296" s="5" t="str">
        <f t="shared" si="71"/>
        <v>Red</v>
      </c>
      <c r="P296" s="7" t="s">
        <v>610</v>
      </c>
      <c r="Q296" s="8"/>
    </row>
    <row r="297" spans="1:17" ht="28" x14ac:dyDescent="0.3">
      <c r="A297" s="3">
        <v>123.3</v>
      </c>
      <c r="B297" s="4" t="s">
        <v>104</v>
      </c>
      <c r="C297" s="7">
        <v>20</v>
      </c>
      <c r="D297" s="7">
        <v>15</v>
      </c>
      <c r="E297" s="7">
        <v>15</v>
      </c>
      <c r="F297" s="13">
        <f t="shared" si="67"/>
        <v>50</v>
      </c>
      <c r="G297" s="7">
        <v>25</v>
      </c>
      <c r="H297" s="7">
        <v>0</v>
      </c>
      <c r="I297" s="7">
        <v>25</v>
      </c>
      <c r="J297" s="13">
        <f t="shared" si="68"/>
        <v>50</v>
      </c>
      <c r="K297" s="2">
        <v>30</v>
      </c>
      <c r="L297" s="7">
        <v>10</v>
      </c>
      <c r="M297" s="13">
        <f t="shared" si="69"/>
        <v>40</v>
      </c>
      <c r="N297" s="6">
        <f t="shared" si="70"/>
        <v>72.5</v>
      </c>
      <c r="O297" s="5" t="str">
        <f t="shared" si="71"/>
        <v>Orange</v>
      </c>
      <c r="P297" s="7" t="s">
        <v>610</v>
      </c>
      <c r="Q297" s="8"/>
    </row>
    <row r="298" spans="1:17" ht="28" x14ac:dyDescent="0.3">
      <c r="A298" s="3">
        <v>123.4</v>
      </c>
      <c r="B298" s="4" t="s">
        <v>105</v>
      </c>
      <c r="C298" s="7">
        <v>20</v>
      </c>
      <c r="D298" s="7">
        <v>15</v>
      </c>
      <c r="E298" s="7">
        <v>15</v>
      </c>
      <c r="F298" s="13">
        <f t="shared" si="67"/>
        <v>50</v>
      </c>
      <c r="G298" s="7">
        <v>25</v>
      </c>
      <c r="H298" s="7">
        <v>0</v>
      </c>
      <c r="I298" s="7">
        <v>10</v>
      </c>
      <c r="J298" s="13">
        <f t="shared" si="68"/>
        <v>35</v>
      </c>
      <c r="K298" s="2">
        <v>30</v>
      </c>
      <c r="L298" s="7">
        <v>10</v>
      </c>
      <c r="M298" s="13">
        <f t="shared" si="69"/>
        <v>40</v>
      </c>
      <c r="N298" s="6">
        <f t="shared" si="70"/>
        <v>68.75</v>
      </c>
      <c r="O298" s="5" t="str">
        <f t="shared" si="71"/>
        <v>Orange</v>
      </c>
      <c r="P298" s="7" t="s">
        <v>610</v>
      </c>
      <c r="Q298" s="8"/>
    </row>
    <row r="299" spans="1:17" ht="28" x14ac:dyDescent="0.3">
      <c r="A299" s="3">
        <v>123.5</v>
      </c>
      <c r="B299" s="4" t="s">
        <v>106</v>
      </c>
      <c r="C299" s="7">
        <v>20</v>
      </c>
      <c r="D299" s="7">
        <v>15</v>
      </c>
      <c r="E299" s="7">
        <v>15</v>
      </c>
      <c r="F299" s="13">
        <f t="shared" si="67"/>
        <v>50</v>
      </c>
      <c r="G299" s="7">
        <v>25</v>
      </c>
      <c r="H299" s="7">
        <v>0</v>
      </c>
      <c r="I299" s="7">
        <v>35</v>
      </c>
      <c r="J299" s="13">
        <f t="shared" si="68"/>
        <v>60</v>
      </c>
      <c r="K299" s="2">
        <v>30</v>
      </c>
      <c r="L299" s="7">
        <v>10</v>
      </c>
      <c r="M299" s="13">
        <f t="shared" si="69"/>
        <v>40</v>
      </c>
      <c r="N299" s="6">
        <f t="shared" si="70"/>
        <v>78</v>
      </c>
      <c r="O299" s="5" t="str">
        <f t="shared" si="71"/>
        <v>Orange</v>
      </c>
      <c r="P299" s="7" t="s">
        <v>610</v>
      </c>
      <c r="Q299" s="8"/>
    </row>
    <row r="300" spans="1:17" ht="28" x14ac:dyDescent="0.3">
      <c r="A300" s="3">
        <v>123.6</v>
      </c>
      <c r="B300" s="4" t="s">
        <v>107</v>
      </c>
      <c r="C300" s="7">
        <v>20</v>
      </c>
      <c r="D300" s="7">
        <v>15</v>
      </c>
      <c r="E300" s="7">
        <v>15</v>
      </c>
      <c r="F300" s="13">
        <f t="shared" si="67"/>
        <v>50</v>
      </c>
      <c r="G300" s="7">
        <v>25</v>
      </c>
      <c r="H300" s="7">
        <v>0</v>
      </c>
      <c r="I300" s="7">
        <v>10</v>
      </c>
      <c r="J300" s="13">
        <f t="shared" si="68"/>
        <v>35</v>
      </c>
      <c r="K300" s="2">
        <v>30</v>
      </c>
      <c r="L300" s="7">
        <v>10</v>
      </c>
      <c r="M300" s="13">
        <f t="shared" si="69"/>
        <v>40</v>
      </c>
      <c r="N300" s="6">
        <f t="shared" si="70"/>
        <v>68.75</v>
      </c>
      <c r="O300" s="5" t="str">
        <f t="shared" si="71"/>
        <v>Orange</v>
      </c>
      <c r="P300" s="7" t="s">
        <v>610</v>
      </c>
      <c r="Q300" s="8"/>
    </row>
    <row r="301" spans="1:17" ht="28" x14ac:dyDescent="0.3">
      <c r="A301" s="3">
        <v>123.7</v>
      </c>
      <c r="B301" s="4" t="s">
        <v>111</v>
      </c>
      <c r="C301" s="7">
        <v>20</v>
      </c>
      <c r="D301" s="7">
        <v>15</v>
      </c>
      <c r="E301" s="7">
        <v>15</v>
      </c>
      <c r="F301" s="13">
        <f t="shared" si="67"/>
        <v>50</v>
      </c>
      <c r="G301" s="7">
        <v>25</v>
      </c>
      <c r="H301" s="7">
        <v>0</v>
      </c>
      <c r="I301" s="7">
        <v>25</v>
      </c>
      <c r="J301" s="13">
        <f t="shared" si="68"/>
        <v>50</v>
      </c>
      <c r="K301" s="2">
        <v>30</v>
      </c>
      <c r="L301" s="7">
        <v>10</v>
      </c>
      <c r="M301" s="13">
        <f t="shared" si="69"/>
        <v>40</v>
      </c>
      <c r="N301" s="6">
        <f t="shared" si="70"/>
        <v>72.5</v>
      </c>
      <c r="O301" s="5" t="str">
        <f t="shared" si="71"/>
        <v>Orange</v>
      </c>
      <c r="P301" s="7" t="s">
        <v>610</v>
      </c>
      <c r="Q301" s="8"/>
    </row>
    <row r="302" spans="1:17" ht="28" x14ac:dyDescent="0.3">
      <c r="A302" s="3">
        <v>123.8</v>
      </c>
      <c r="B302" s="4" t="s">
        <v>108</v>
      </c>
      <c r="C302" s="7">
        <v>20</v>
      </c>
      <c r="D302" s="7">
        <v>15</v>
      </c>
      <c r="E302" s="7">
        <v>15</v>
      </c>
      <c r="F302" s="13">
        <f t="shared" si="67"/>
        <v>50</v>
      </c>
      <c r="G302" s="7">
        <v>25</v>
      </c>
      <c r="H302" s="7">
        <v>0</v>
      </c>
      <c r="I302" s="7">
        <v>25</v>
      </c>
      <c r="J302" s="13">
        <f t="shared" si="68"/>
        <v>50</v>
      </c>
      <c r="K302" s="2">
        <v>30</v>
      </c>
      <c r="L302" s="7">
        <v>10</v>
      </c>
      <c r="M302" s="13">
        <f t="shared" si="69"/>
        <v>40</v>
      </c>
      <c r="N302" s="6">
        <f t="shared" si="70"/>
        <v>72.5</v>
      </c>
      <c r="O302" s="5" t="str">
        <f t="shared" si="71"/>
        <v>Orange</v>
      </c>
      <c r="P302" s="7" t="s">
        <v>610</v>
      </c>
      <c r="Q302" s="8"/>
    </row>
    <row r="303" spans="1:17" ht="28" x14ac:dyDescent="0.3">
      <c r="A303" s="3">
        <v>123.9</v>
      </c>
      <c r="B303" s="4" t="s">
        <v>109</v>
      </c>
      <c r="C303" s="7">
        <v>20</v>
      </c>
      <c r="D303" s="7">
        <v>15</v>
      </c>
      <c r="E303" s="7">
        <v>15</v>
      </c>
      <c r="F303" s="13">
        <f t="shared" si="67"/>
        <v>50</v>
      </c>
      <c r="G303" s="7">
        <v>25</v>
      </c>
      <c r="H303" s="7">
        <v>0</v>
      </c>
      <c r="I303" s="7">
        <v>10</v>
      </c>
      <c r="J303" s="13">
        <f t="shared" si="68"/>
        <v>35</v>
      </c>
      <c r="K303" s="2">
        <v>0</v>
      </c>
      <c r="L303" s="7">
        <v>0</v>
      </c>
      <c r="M303" s="13">
        <v>0</v>
      </c>
      <c r="N303" s="6">
        <f t="shared" si="70"/>
        <v>58.75</v>
      </c>
      <c r="O303" s="5" t="str">
        <f t="shared" si="71"/>
        <v>Orange</v>
      </c>
      <c r="P303" s="7" t="s">
        <v>610</v>
      </c>
      <c r="Q303" s="8"/>
    </row>
    <row r="304" spans="1:17" ht="28" x14ac:dyDescent="0.3">
      <c r="A304" s="3">
        <v>124</v>
      </c>
      <c r="B304" s="4" t="s">
        <v>455</v>
      </c>
      <c r="C304" s="7">
        <v>0</v>
      </c>
      <c r="D304" s="5">
        <v>0</v>
      </c>
      <c r="E304" s="5">
        <v>0</v>
      </c>
      <c r="F304" s="13">
        <f t="shared" si="67"/>
        <v>0</v>
      </c>
      <c r="G304" s="7">
        <v>20</v>
      </c>
      <c r="H304" s="5">
        <v>0</v>
      </c>
      <c r="I304" s="5">
        <v>0</v>
      </c>
      <c r="J304" s="13">
        <f t="shared" si="68"/>
        <v>20</v>
      </c>
      <c r="K304" s="5">
        <v>30</v>
      </c>
      <c r="L304" s="7">
        <v>10</v>
      </c>
      <c r="M304" s="13">
        <f t="shared" ref="M304:M320" si="72">K304+L304</f>
        <v>40</v>
      </c>
      <c r="N304" s="6">
        <f t="shared" si="70"/>
        <v>46</v>
      </c>
      <c r="O304" s="5" t="str">
        <f t="shared" si="71"/>
        <v>Green</v>
      </c>
      <c r="P304" s="7" t="s">
        <v>610</v>
      </c>
      <c r="Q304" s="8"/>
    </row>
    <row r="305" spans="1:17" ht="28" x14ac:dyDescent="0.3">
      <c r="A305" s="3">
        <v>125</v>
      </c>
      <c r="B305" s="4" t="s">
        <v>174</v>
      </c>
      <c r="C305" s="5">
        <v>0</v>
      </c>
      <c r="D305" s="5">
        <v>0</v>
      </c>
      <c r="E305" s="5">
        <v>0</v>
      </c>
      <c r="F305" s="14">
        <f t="shared" si="67"/>
        <v>0</v>
      </c>
      <c r="G305" s="7">
        <v>0</v>
      </c>
      <c r="H305" s="5">
        <v>25</v>
      </c>
      <c r="I305" s="5">
        <v>0</v>
      </c>
      <c r="J305" s="13">
        <f t="shared" si="68"/>
        <v>25</v>
      </c>
      <c r="K305" s="5">
        <v>30</v>
      </c>
      <c r="L305" s="7">
        <v>10</v>
      </c>
      <c r="M305" s="13">
        <f t="shared" si="72"/>
        <v>40</v>
      </c>
      <c r="N305" s="6">
        <f t="shared" si="70"/>
        <v>47.5</v>
      </c>
      <c r="O305" s="5" t="str">
        <f t="shared" si="71"/>
        <v>Green</v>
      </c>
      <c r="P305" s="7" t="s">
        <v>610</v>
      </c>
      <c r="Q305" s="8" t="s">
        <v>545</v>
      </c>
    </row>
    <row r="306" spans="1:17" ht="56" x14ac:dyDescent="0.3">
      <c r="A306" s="3">
        <v>126</v>
      </c>
      <c r="B306" s="4" t="s">
        <v>166</v>
      </c>
      <c r="C306" s="7">
        <v>20</v>
      </c>
      <c r="D306" s="5">
        <v>20</v>
      </c>
      <c r="E306" s="5">
        <v>15</v>
      </c>
      <c r="F306" s="13">
        <f t="shared" si="67"/>
        <v>55</v>
      </c>
      <c r="G306" s="5">
        <v>25</v>
      </c>
      <c r="H306" s="5">
        <v>20</v>
      </c>
      <c r="I306" s="5">
        <v>25</v>
      </c>
      <c r="J306" s="13">
        <f t="shared" si="68"/>
        <v>70</v>
      </c>
      <c r="K306" s="5">
        <v>0</v>
      </c>
      <c r="L306" s="5">
        <v>0</v>
      </c>
      <c r="M306" s="15">
        <f t="shared" si="72"/>
        <v>0</v>
      </c>
      <c r="N306" s="6">
        <f t="shared" si="70"/>
        <v>78.25</v>
      </c>
      <c r="O306" s="5" t="str">
        <f t="shared" si="71"/>
        <v>Orange</v>
      </c>
      <c r="P306" s="7" t="s">
        <v>610</v>
      </c>
      <c r="Q306" s="8"/>
    </row>
    <row r="307" spans="1:17" ht="28" x14ac:dyDescent="0.3">
      <c r="A307" s="3">
        <v>127</v>
      </c>
      <c r="B307" s="4" t="s">
        <v>456</v>
      </c>
      <c r="C307" s="7">
        <v>20</v>
      </c>
      <c r="D307" s="7">
        <v>0</v>
      </c>
      <c r="E307" s="7">
        <v>15</v>
      </c>
      <c r="F307" s="13">
        <f t="shared" si="67"/>
        <v>35</v>
      </c>
      <c r="G307" s="7">
        <v>20</v>
      </c>
      <c r="H307" s="7">
        <v>0</v>
      </c>
      <c r="I307" s="7">
        <v>0</v>
      </c>
      <c r="J307" s="13">
        <f t="shared" si="68"/>
        <v>20</v>
      </c>
      <c r="K307" s="5">
        <v>30</v>
      </c>
      <c r="L307" s="7">
        <v>10</v>
      </c>
      <c r="M307" s="13">
        <f t="shared" si="72"/>
        <v>40</v>
      </c>
      <c r="N307" s="6">
        <f t="shared" si="70"/>
        <v>56.5</v>
      </c>
      <c r="O307" s="5" t="str">
        <f t="shared" si="71"/>
        <v>Orange</v>
      </c>
      <c r="P307" s="7" t="s">
        <v>610</v>
      </c>
      <c r="Q307" s="8" t="s">
        <v>541</v>
      </c>
    </row>
    <row r="308" spans="1:17" ht="42" x14ac:dyDescent="0.3">
      <c r="A308" s="3">
        <v>128</v>
      </c>
      <c r="B308" s="4" t="s">
        <v>426</v>
      </c>
      <c r="C308" s="7">
        <v>0</v>
      </c>
      <c r="D308" s="5">
        <v>15</v>
      </c>
      <c r="E308" s="5">
        <v>15</v>
      </c>
      <c r="F308" s="13">
        <f t="shared" si="67"/>
        <v>30</v>
      </c>
      <c r="G308" s="5">
        <v>0</v>
      </c>
      <c r="H308" s="5">
        <v>0</v>
      </c>
      <c r="I308" s="5">
        <v>0</v>
      </c>
      <c r="J308" s="14">
        <f t="shared" si="68"/>
        <v>0</v>
      </c>
      <c r="K308" s="5">
        <v>0</v>
      </c>
      <c r="L308" s="5">
        <v>0</v>
      </c>
      <c r="M308" s="14">
        <f t="shared" si="72"/>
        <v>0</v>
      </c>
      <c r="N308" s="6">
        <f t="shared" si="70"/>
        <v>30</v>
      </c>
      <c r="O308" s="5" t="str">
        <f t="shared" si="71"/>
        <v>Green</v>
      </c>
      <c r="P308" s="7" t="s">
        <v>610</v>
      </c>
      <c r="Q308" s="8" t="s">
        <v>560</v>
      </c>
    </row>
    <row r="309" spans="1:17" ht="28" x14ac:dyDescent="0.3">
      <c r="A309" s="3">
        <v>129</v>
      </c>
      <c r="B309" s="4" t="s">
        <v>213</v>
      </c>
      <c r="C309" s="5">
        <v>0</v>
      </c>
      <c r="D309" s="5">
        <v>0</v>
      </c>
      <c r="E309" s="5">
        <v>0</v>
      </c>
      <c r="F309" s="14">
        <f t="shared" si="67"/>
        <v>0</v>
      </c>
      <c r="G309" s="7">
        <v>0</v>
      </c>
      <c r="H309" s="5">
        <v>30</v>
      </c>
      <c r="I309" s="5">
        <v>0</v>
      </c>
      <c r="J309" s="13">
        <f t="shared" si="68"/>
        <v>30</v>
      </c>
      <c r="K309" s="7">
        <v>0</v>
      </c>
      <c r="L309" s="7">
        <v>0</v>
      </c>
      <c r="M309" s="13">
        <f t="shared" si="72"/>
        <v>0</v>
      </c>
      <c r="N309" s="6">
        <f t="shared" si="70"/>
        <v>30</v>
      </c>
      <c r="O309" s="5" t="str">
        <f t="shared" si="71"/>
        <v>Green</v>
      </c>
      <c r="P309" s="7" t="s">
        <v>610</v>
      </c>
      <c r="Q309" s="8"/>
    </row>
    <row r="310" spans="1:17" ht="42" x14ac:dyDescent="0.3">
      <c r="A310" s="3">
        <v>130</v>
      </c>
      <c r="B310" s="4" t="s">
        <v>220</v>
      </c>
      <c r="C310" s="5">
        <v>0</v>
      </c>
      <c r="D310" s="5">
        <v>0</v>
      </c>
      <c r="E310" s="5">
        <v>0</v>
      </c>
      <c r="F310" s="14">
        <f t="shared" si="67"/>
        <v>0</v>
      </c>
      <c r="G310" s="7">
        <v>0</v>
      </c>
      <c r="H310" s="5">
        <v>25</v>
      </c>
      <c r="I310" s="5">
        <v>0</v>
      </c>
      <c r="J310" s="13">
        <f t="shared" si="68"/>
        <v>25</v>
      </c>
      <c r="K310" s="7">
        <v>0</v>
      </c>
      <c r="L310" s="7">
        <v>0</v>
      </c>
      <c r="M310" s="13">
        <f t="shared" si="72"/>
        <v>0</v>
      </c>
      <c r="N310" s="6">
        <f t="shared" si="70"/>
        <v>25</v>
      </c>
      <c r="O310" s="5" t="str">
        <f t="shared" si="71"/>
        <v>Green</v>
      </c>
      <c r="P310" s="7" t="s">
        <v>610</v>
      </c>
      <c r="Q310" s="8"/>
    </row>
    <row r="311" spans="1:17" ht="42" x14ac:dyDescent="0.3">
      <c r="A311" s="3">
        <v>131</v>
      </c>
      <c r="B311" s="4" t="s">
        <v>222</v>
      </c>
      <c r="C311" s="5">
        <v>0</v>
      </c>
      <c r="D311" s="5">
        <v>0</v>
      </c>
      <c r="E311" s="5">
        <v>0</v>
      </c>
      <c r="F311" s="14">
        <f t="shared" si="67"/>
        <v>0</v>
      </c>
      <c r="G311" s="7">
        <v>0</v>
      </c>
      <c r="H311" s="5">
        <v>25</v>
      </c>
      <c r="I311" s="5">
        <v>0</v>
      </c>
      <c r="J311" s="13">
        <f t="shared" si="68"/>
        <v>25</v>
      </c>
      <c r="K311" s="7">
        <v>0</v>
      </c>
      <c r="L311" s="7">
        <v>0</v>
      </c>
      <c r="M311" s="13">
        <f t="shared" si="72"/>
        <v>0</v>
      </c>
      <c r="N311" s="6">
        <f t="shared" si="70"/>
        <v>25</v>
      </c>
      <c r="O311" s="5" t="str">
        <f t="shared" si="71"/>
        <v>Green</v>
      </c>
      <c r="P311" s="7" t="s">
        <v>610</v>
      </c>
      <c r="Q311" s="8"/>
    </row>
    <row r="312" spans="1:17" ht="56" x14ac:dyDescent="0.3">
      <c r="A312" s="3">
        <v>132</v>
      </c>
      <c r="B312" s="4" t="s">
        <v>403</v>
      </c>
      <c r="C312" s="7">
        <v>0</v>
      </c>
      <c r="D312" s="5">
        <v>15</v>
      </c>
      <c r="E312" s="5">
        <v>15</v>
      </c>
      <c r="F312" s="13">
        <f t="shared" si="67"/>
        <v>30</v>
      </c>
      <c r="G312" s="7">
        <v>0</v>
      </c>
      <c r="H312" s="5">
        <v>20</v>
      </c>
      <c r="I312" s="5">
        <v>0</v>
      </c>
      <c r="J312" s="13">
        <f t="shared" si="68"/>
        <v>20</v>
      </c>
      <c r="K312" s="7">
        <v>0</v>
      </c>
      <c r="L312" s="7">
        <v>0</v>
      </c>
      <c r="M312" s="13">
        <f t="shared" si="72"/>
        <v>0</v>
      </c>
      <c r="N312" s="6">
        <f t="shared" si="70"/>
        <v>37</v>
      </c>
      <c r="O312" s="5" t="str">
        <f t="shared" si="71"/>
        <v>Green</v>
      </c>
      <c r="P312" s="7" t="s">
        <v>610</v>
      </c>
      <c r="Q312" s="8"/>
    </row>
    <row r="313" spans="1:17" ht="28" x14ac:dyDescent="0.3">
      <c r="A313" s="3">
        <v>133</v>
      </c>
      <c r="B313" s="4" t="s">
        <v>404</v>
      </c>
      <c r="C313" s="5">
        <v>0</v>
      </c>
      <c r="D313" s="5">
        <v>0</v>
      </c>
      <c r="E313" s="5">
        <v>0</v>
      </c>
      <c r="F313" s="14">
        <f t="shared" si="67"/>
        <v>0</v>
      </c>
      <c r="G313" s="7">
        <v>30</v>
      </c>
      <c r="H313" s="5">
        <v>20</v>
      </c>
      <c r="I313" s="5">
        <v>0</v>
      </c>
      <c r="J313" s="13">
        <f t="shared" si="68"/>
        <v>50</v>
      </c>
      <c r="K313" s="7">
        <v>0</v>
      </c>
      <c r="L313" s="7">
        <v>0</v>
      </c>
      <c r="M313" s="13">
        <f t="shared" si="72"/>
        <v>0</v>
      </c>
      <c r="N313" s="6">
        <f t="shared" si="70"/>
        <v>50</v>
      </c>
      <c r="O313" s="5" t="str">
        <f t="shared" si="71"/>
        <v>Green</v>
      </c>
      <c r="P313" s="7" t="s">
        <v>610</v>
      </c>
      <c r="Q313" s="8"/>
    </row>
    <row r="314" spans="1:17" ht="28" x14ac:dyDescent="0.3">
      <c r="A314" s="3">
        <v>134</v>
      </c>
      <c r="B314" s="4" t="s">
        <v>225</v>
      </c>
      <c r="C314" s="5">
        <v>0</v>
      </c>
      <c r="D314" s="5">
        <v>0</v>
      </c>
      <c r="E314" s="5">
        <v>0</v>
      </c>
      <c r="F314" s="14">
        <f t="shared" si="67"/>
        <v>0</v>
      </c>
      <c r="G314" s="7">
        <v>25</v>
      </c>
      <c r="H314" s="5">
        <v>0</v>
      </c>
      <c r="I314" s="5">
        <v>10</v>
      </c>
      <c r="J314" s="13">
        <f t="shared" si="68"/>
        <v>35</v>
      </c>
      <c r="K314" s="7">
        <v>0</v>
      </c>
      <c r="L314" s="7">
        <v>0</v>
      </c>
      <c r="M314" s="13">
        <f t="shared" si="72"/>
        <v>0</v>
      </c>
      <c r="N314" s="6">
        <f t="shared" si="70"/>
        <v>35</v>
      </c>
      <c r="O314" s="5" t="str">
        <f t="shared" si="71"/>
        <v>Green</v>
      </c>
      <c r="P314" s="7" t="s">
        <v>610</v>
      </c>
      <c r="Q314" s="8"/>
    </row>
    <row r="315" spans="1:17" ht="42" x14ac:dyDescent="0.3">
      <c r="A315" s="3">
        <v>135</v>
      </c>
      <c r="B315" s="4" t="s">
        <v>247</v>
      </c>
      <c r="C315" s="5">
        <v>0</v>
      </c>
      <c r="D315" s="5">
        <v>0</v>
      </c>
      <c r="E315" s="5">
        <v>0</v>
      </c>
      <c r="F315" s="14">
        <f t="shared" si="67"/>
        <v>0</v>
      </c>
      <c r="G315" s="5">
        <v>0</v>
      </c>
      <c r="H315" s="5">
        <v>0</v>
      </c>
      <c r="I315" s="5">
        <v>0</v>
      </c>
      <c r="J315" s="14">
        <f t="shared" si="68"/>
        <v>0</v>
      </c>
      <c r="K315" s="5">
        <v>0</v>
      </c>
      <c r="L315" s="5">
        <v>0</v>
      </c>
      <c r="M315" s="14">
        <f t="shared" si="72"/>
        <v>0</v>
      </c>
      <c r="N315" s="6">
        <f t="shared" si="70"/>
        <v>0</v>
      </c>
      <c r="O315" s="5" t="str">
        <f t="shared" si="71"/>
        <v>White</v>
      </c>
      <c r="P315" s="7" t="s">
        <v>610</v>
      </c>
      <c r="Q315" s="8"/>
    </row>
    <row r="316" spans="1:17" ht="28" x14ac:dyDescent="0.3">
      <c r="A316" s="3">
        <v>136</v>
      </c>
      <c r="B316" s="4" t="s">
        <v>260</v>
      </c>
      <c r="C316" s="5">
        <v>0</v>
      </c>
      <c r="D316" s="5">
        <v>0</v>
      </c>
      <c r="E316" s="5">
        <v>0</v>
      </c>
      <c r="F316" s="14">
        <f t="shared" si="67"/>
        <v>0</v>
      </c>
      <c r="G316" s="5">
        <v>0</v>
      </c>
      <c r="H316" s="5">
        <v>0</v>
      </c>
      <c r="I316" s="5">
        <v>0</v>
      </c>
      <c r="J316" s="14">
        <f t="shared" si="68"/>
        <v>0</v>
      </c>
      <c r="K316" s="5">
        <v>0</v>
      </c>
      <c r="L316" s="5">
        <v>0</v>
      </c>
      <c r="M316" s="14">
        <f t="shared" si="72"/>
        <v>0</v>
      </c>
      <c r="N316" s="6">
        <f t="shared" si="70"/>
        <v>0</v>
      </c>
      <c r="O316" s="5" t="str">
        <f t="shared" si="71"/>
        <v>White</v>
      </c>
      <c r="P316" s="7" t="s">
        <v>610</v>
      </c>
      <c r="Q316" s="8"/>
    </row>
    <row r="317" spans="1:17" ht="28" x14ac:dyDescent="0.3">
      <c r="A317" s="3">
        <v>137</v>
      </c>
      <c r="B317" s="4" t="s">
        <v>262</v>
      </c>
      <c r="C317" s="5">
        <v>0</v>
      </c>
      <c r="D317" s="5">
        <v>0</v>
      </c>
      <c r="E317" s="5">
        <v>0</v>
      </c>
      <c r="F317" s="14">
        <f t="shared" si="67"/>
        <v>0</v>
      </c>
      <c r="G317" s="5">
        <v>0</v>
      </c>
      <c r="H317" s="5">
        <v>0</v>
      </c>
      <c r="I317" s="5">
        <v>0</v>
      </c>
      <c r="J317" s="14">
        <f t="shared" si="68"/>
        <v>0</v>
      </c>
      <c r="K317" s="5">
        <v>0</v>
      </c>
      <c r="L317" s="5">
        <v>0</v>
      </c>
      <c r="M317" s="14">
        <f t="shared" si="72"/>
        <v>0</v>
      </c>
      <c r="N317" s="6">
        <f t="shared" si="70"/>
        <v>0</v>
      </c>
      <c r="O317" s="5" t="str">
        <f t="shared" si="71"/>
        <v>White</v>
      </c>
      <c r="P317" s="7" t="s">
        <v>610</v>
      </c>
      <c r="Q317" s="8"/>
    </row>
    <row r="318" spans="1:17" ht="28" x14ac:dyDescent="0.3">
      <c r="A318" s="3">
        <v>138</v>
      </c>
      <c r="B318" s="4" t="s">
        <v>408</v>
      </c>
      <c r="C318" s="5">
        <v>0</v>
      </c>
      <c r="D318" s="5">
        <v>0</v>
      </c>
      <c r="E318" s="5">
        <v>0</v>
      </c>
      <c r="F318" s="14">
        <f t="shared" si="67"/>
        <v>0</v>
      </c>
      <c r="G318" s="5">
        <v>0</v>
      </c>
      <c r="H318" s="5">
        <v>0</v>
      </c>
      <c r="I318" s="5">
        <v>0</v>
      </c>
      <c r="J318" s="14">
        <f t="shared" si="68"/>
        <v>0</v>
      </c>
      <c r="K318" s="5">
        <v>0</v>
      </c>
      <c r="L318" s="5">
        <v>0</v>
      </c>
      <c r="M318" s="14">
        <f t="shared" si="72"/>
        <v>0</v>
      </c>
      <c r="N318" s="6">
        <f t="shared" si="70"/>
        <v>0</v>
      </c>
      <c r="O318" s="5" t="str">
        <f t="shared" si="71"/>
        <v>White</v>
      </c>
      <c r="P318" s="7" t="s">
        <v>610</v>
      </c>
      <c r="Q318" s="8"/>
    </row>
    <row r="319" spans="1:17" ht="28" x14ac:dyDescent="0.3">
      <c r="A319" s="3">
        <v>139</v>
      </c>
      <c r="B319" s="4" t="s">
        <v>271</v>
      </c>
      <c r="C319" s="5">
        <v>0</v>
      </c>
      <c r="D319" s="5">
        <v>0</v>
      </c>
      <c r="E319" s="5">
        <v>0</v>
      </c>
      <c r="F319" s="14">
        <f t="shared" si="67"/>
        <v>0</v>
      </c>
      <c r="G319" s="5">
        <v>0</v>
      </c>
      <c r="H319" s="5">
        <v>0</v>
      </c>
      <c r="I319" s="5">
        <v>0</v>
      </c>
      <c r="J319" s="14">
        <f t="shared" si="68"/>
        <v>0</v>
      </c>
      <c r="K319" s="5">
        <v>0</v>
      </c>
      <c r="L319" s="5">
        <v>0</v>
      </c>
      <c r="M319" s="14">
        <f t="shared" si="72"/>
        <v>0</v>
      </c>
      <c r="N319" s="6">
        <f t="shared" si="70"/>
        <v>0</v>
      </c>
      <c r="O319" s="5" t="str">
        <f t="shared" si="71"/>
        <v>White</v>
      </c>
      <c r="P319" s="7" t="s">
        <v>610</v>
      </c>
      <c r="Q319" s="8"/>
    </row>
    <row r="320" spans="1:17" ht="28" x14ac:dyDescent="0.3">
      <c r="A320" s="3">
        <v>140</v>
      </c>
      <c r="B320" s="4" t="s">
        <v>100</v>
      </c>
      <c r="C320" s="7">
        <v>20</v>
      </c>
      <c r="D320" s="5">
        <v>15</v>
      </c>
      <c r="E320" s="5">
        <v>15</v>
      </c>
      <c r="F320" s="13">
        <f t="shared" si="67"/>
        <v>50</v>
      </c>
      <c r="G320" s="7">
        <v>20</v>
      </c>
      <c r="H320" s="5">
        <v>0</v>
      </c>
      <c r="I320" s="5">
        <v>25</v>
      </c>
      <c r="J320" s="13">
        <f t="shared" si="68"/>
        <v>45</v>
      </c>
      <c r="K320" s="7">
        <v>20</v>
      </c>
      <c r="L320" s="7">
        <v>10</v>
      </c>
      <c r="M320" s="13">
        <f t="shared" si="72"/>
        <v>30</v>
      </c>
      <c r="N320" s="6">
        <f t="shared" si="70"/>
        <v>68.75</v>
      </c>
      <c r="O320" s="5" t="str">
        <f t="shared" si="71"/>
        <v>Orange</v>
      </c>
      <c r="P320" s="7" t="s">
        <v>610</v>
      </c>
      <c r="Q320" s="8"/>
    </row>
    <row r="321" spans="1:17" ht="28" x14ac:dyDescent="0.3">
      <c r="A321" s="3">
        <v>141</v>
      </c>
      <c r="B321" s="4" t="s">
        <v>138</v>
      </c>
      <c r="C321" s="5"/>
      <c r="D321" s="5"/>
      <c r="E321" s="5"/>
      <c r="F321" s="14"/>
      <c r="G321" s="7"/>
      <c r="H321" s="5"/>
      <c r="I321" s="5"/>
      <c r="J321" s="13"/>
      <c r="K321" s="7"/>
      <c r="L321" s="7"/>
      <c r="M321" s="13"/>
      <c r="N321" s="6"/>
      <c r="O321" s="5"/>
      <c r="P321" s="7" t="s">
        <v>610</v>
      </c>
      <c r="Q321" s="8"/>
    </row>
    <row r="322" spans="1:17" ht="28" x14ac:dyDescent="0.3">
      <c r="A322" s="3">
        <v>141.1</v>
      </c>
      <c r="B322" s="4" t="s">
        <v>349</v>
      </c>
      <c r="C322" s="5">
        <v>0</v>
      </c>
      <c r="D322" s="5">
        <v>0</v>
      </c>
      <c r="E322" s="5">
        <v>0</v>
      </c>
      <c r="F322" s="14">
        <f>C322+D322+E322</f>
        <v>0</v>
      </c>
      <c r="G322" s="7">
        <v>25</v>
      </c>
      <c r="H322" s="5">
        <v>25</v>
      </c>
      <c r="I322" s="5">
        <v>30</v>
      </c>
      <c r="J322" s="13">
        <f>G322+H322+I322</f>
        <v>80</v>
      </c>
      <c r="K322" s="7">
        <v>0</v>
      </c>
      <c r="L322" s="7">
        <v>0</v>
      </c>
      <c r="M322" s="13">
        <f>K322+L322</f>
        <v>0</v>
      </c>
      <c r="N322" s="6">
        <f>(MAX(F322,J322,M322))+((100-MAX(F322,J322,M322))*((MEDIAN(F322,J322,M322)+MIN(F322,J322,M322))/200))</f>
        <v>80</v>
      </c>
      <c r="O322" s="5" t="str">
        <f>IF(N322&gt;=80,"Red",IF(AND(N322&gt;=55,N322&lt;80),"Orange",IF(AND(N322&gt;=25,N322&lt;55),"Green",IF(N322&lt;25,"White"))))</f>
        <v>Red</v>
      </c>
      <c r="P322" s="7" t="s">
        <v>610</v>
      </c>
      <c r="Q322" s="8"/>
    </row>
    <row r="323" spans="1:17" ht="28" x14ac:dyDescent="0.3">
      <c r="A323" s="3">
        <v>141.19999999999999</v>
      </c>
      <c r="B323" s="4" t="s">
        <v>350</v>
      </c>
      <c r="C323" s="5">
        <v>0</v>
      </c>
      <c r="D323" s="5">
        <v>0</v>
      </c>
      <c r="E323" s="5">
        <v>0</v>
      </c>
      <c r="F323" s="14">
        <f>C323+D323+E323</f>
        <v>0</v>
      </c>
      <c r="G323" s="7">
        <v>25</v>
      </c>
      <c r="H323" s="5">
        <v>25</v>
      </c>
      <c r="I323" s="5">
        <v>25</v>
      </c>
      <c r="J323" s="13">
        <f>G323+H323+I323</f>
        <v>75</v>
      </c>
      <c r="K323" s="7">
        <v>0</v>
      </c>
      <c r="L323" s="7">
        <v>0</v>
      </c>
      <c r="M323" s="13">
        <f>K323+L323</f>
        <v>0</v>
      </c>
      <c r="N323" s="6">
        <f>(MAX(F323,J323,M323))+((100-MAX(F323,J323,M323))*((MEDIAN(F323,J323,M323)+MIN(F323,J323,M323))/200))</f>
        <v>75</v>
      </c>
      <c r="O323" s="5" t="str">
        <f>IF(N323&gt;=80,"Red",IF(AND(N323&gt;=55,N323&lt;80),"Orange",IF(AND(N323&gt;=25,N323&lt;55),"Green",IF(N323&lt;25,"White"))))</f>
        <v>Orange</v>
      </c>
      <c r="P323" s="7" t="s">
        <v>610</v>
      </c>
      <c r="Q323" s="8"/>
    </row>
    <row r="324" spans="1:17" ht="28" x14ac:dyDescent="0.3">
      <c r="A324" s="3">
        <v>141.30000000000001</v>
      </c>
      <c r="B324" s="4" t="s">
        <v>347</v>
      </c>
      <c r="C324" s="5">
        <v>0</v>
      </c>
      <c r="D324" s="5">
        <v>0</v>
      </c>
      <c r="E324" s="5">
        <v>0</v>
      </c>
      <c r="F324" s="14">
        <f>C324+D324+E324</f>
        <v>0</v>
      </c>
      <c r="G324" s="7">
        <v>25</v>
      </c>
      <c r="H324" s="5">
        <v>25</v>
      </c>
      <c r="I324" s="5">
        <v>10</v>
      </c>
      <c r="J324" s="13">
        <f>G324+H324+I324</f>
        <v>60</v>
      </c>
      <c r="K324" s="7">
        <v>0</v>
      </c>
      <c r="L324" s="7">
        <v>0</v>
      </c>
      <c r="M324" s="13">
        <f>K324+L324</f>
        <v>0</v>
      </c>
      <c r="N324" s="6">
        <f>(MAX(F324,J324,M324))+((100-MAX(F324,J324,M324))*((MEDIAN(F324,J324,M324)+MIN(F324,J324,M324))/200))</f>
        <v>60</v>
      </c>
      <c r="O324" s="5" t="str">
        <f>IF(N324&gt;=80,"Red",IF(AND(N324&gt;=55,N324&lt;80),"Orange",IF(AND(N324&gt;=25,N324&lt;55),"Green",IF(N324&lt;25,"White"))))</f>
        <v>Orange</v>
      </c>
      <c r="P324" s="7" t="s">
        <v>610</v>
      </c>
      <c r="Q324" s="8"/>
    </row>
    <row r="325" spans="1:17" ht="28" x14ac:dyDescent="0.3">
      <c r="A325" s="3">
        <v>142</v>
      </c>
      <c r="B325" s="4" t="s">
        <v>177</v>
      </c>
      <c r="C325" s="5"/>
      <c r="D325" s="5"/>
      <c r="E325" s="5"/>
      <c r="F325" s="14"/>
      <c r="G325" s="7"/>
      <c r="H325" s="5"/>
      <c r="I325" s="5"/>
      <c r="J325" s="14"/>
      <c r="K325" s="7"/>
      <c r="L325" s="7"/>
      <c r="M325" s="14"/>
      <c r="N325" s="6"/>
      <c r="O325" s="5"/>
      <c r="P325" s="7" t="s">
        <v>610</v>
      </c>
      <c r="Q325" s="8"/>
    </row>
    <row r="326" spans="1:17" ht="28" x14ac:dyDescent="0.3">
      <c r="A326" s="3">
        <v>142.1</v>
      </c>
      <c r="B326" s="4" t="s">
        <v>178</v>
      </c>
      <c r="C326" s="5">
        <v>0</v>
      </c>
      <c r="D326" s="5">
        <v>15</v>
      </c>
      <c r="E326" s="5">
        <v>15</v>
      </c>
      <c r="F326" s="14">
        <f>C326+D326+E326</f>
        <v>30</v>
      </c>
      <c r="G326" s="7">
        <v>25</v>
      </c>
      <c r="H326" s="5">
        <v>25</v>
      </c>
      <c r="I326" s="5">
        <v>25</v>
      </c>
      <c r="J326" s="13">
        <f>G326+H326+I326</f>
        <v>75</v>
      </c>
      <c r="K326" s="7">
        <v>0</v>
      </c>
      <c r="L326" s="7">
        <v>0</v>
      </c>
      <c r="M326" s="13">
        <f>K326+L326</f>
        <v>0</v>
      </c>
      <c r="N326" s="6">
        <f>(MAX(F326,J326,M326))+((100-MAX(F326,J326,M326))*((MEDIAN(F326,J326,M326)+MIN(F326,J326,M326))/200))</f>
        <v>78.75</v>
      </c>
      <c r="O326" s="5" t="str">
        <f>IF(N326&gt;=80,"Red",IF(AND(N326&gt;=55,N326&lt;80),"Orange",IF(AND(N326&gt;=25,N326&lt;55),"Green",IF(N326&lt;25,"White"))))</f>
        <v>Orange</v>
      </c>
      <c r="P326" s="7" t="s">
        <v>610</v>
      </c>
      <c r="Q326" s="8"/>
    </row>
    <row r="327" spans="1:17" ht="28" x14ac:dyDescent="0.3">
      <c r="A327" s="3">
        <v>142.19999999999999</v>
      </c>
      <c r="B327" s="4" t="s">
        <v>179</v>
      </c>
      <c r="C327" s="7">
        <v>0</v>
      </c>
      <c r="D327" s="5">
        <v>15</v>
      </c>
      <c r="E327" s="5">
        <v>15</v>
      </c>
      <c r="F327" s="13">
        <f>C327+D327+E327</f>
        <v>30</v>
      </c>
      <c r="G327" s="7">
        <v>25</v>
      </c>
      <c r="H327" s="5">
        <v>20</v>
      </c>
      <c r="I327" s="5">
        <v>10</v>
      </c>
      <c r="J327" s="13">
        <f>G327+H327+I327</f>
        <v>55</v>
      </c>
      <c r="K327" s="7">
        <v>0</v>
      </c>
      <c r="L327" s="7">
        <v>0</v>
      </c>
      <c r="M327" s="13">
        <f>K327+L327</f>
        <v>0</v>
      </c>
      <c r="N327" s="6">
        <f>(MAX(F327,J327,M327))+((100-MAX(F327,J327,M327))*((MEDIAN(F327,J327,M327)+MIN(F327,J327,M327))/200))</f>
        <v>61.75</v>
      </c>
      <c r="O327" s="5" t="str">
        <f>IF(N327&gt;=80,"Red",IF(AND(N327&gt;=55,N327&lt;80),"Orange",IF(AND(N327&gt;=25,N327&lt;55),"Green",IF(N327&lt;25,"White"))))</f>
        <v>Orange</v>
      </c>
      <c r="P327" s="7" t="s">
        <v>610</v>
      </c>
      <c r="Q327" s="8"/>
    </row>
    <row r="328" spans="1:17" ht="28" x14ac:dyDescent="0.3">
      <c r="A328" s="3">
        <v>142.30000000000001</v>
      </c>
      <c r="B328" s="4" t="s">
        <v>457</v>
      </c>
      <c r="C328" s="5">
        <v>0</v>
      </c>
      <c r="D328" s="5">
        <v>15</v>
      </c>
      <c r="E328" s="5">
        <v>15</v>
      </c>
      <c r="F328" s="14">
        <f>C328+D328+E328</f>
        <v>30</v>
      </c>
      <c r="G328" s="7">
        <v>25</v>
      </c>
      <c r="H328" s="5">
        <v>0</v>
      </c>
      <c r="I328" s="5">
        <v>25</v>
      </c>
      <c r="J328" s="13">
        <f>G328+H328+I328</f>
        <v>50</v>
      </c>
      <c r="K328" s="7">
        <v>0</v>
      </c>
      <c r="L328" s="7">
        <v>0</v>
      </c>
      <c r="M328" s="13">
        <f>K328+L328</f>
        <v>0</v>
      </c>
      <c r="N328" s="6">
        <f>(MAX(F328,J328,M328))+((100-MAX(F328,J328,M328))*((MEDIAN(F328,J328,M328)+MIN(F328,J328,M328))/200))</f>
        <v>57.5</v>
      </c>
      <c r="O328" s="5" t="str">
        <f>IF(N328&gt;=80,"Red",IF(AND(N328&gt;=55,N328&lt;80),"Orange",IF(AND(N328&gt;=25,N328&lt;55),"Green",IF(N328&lt;25,"White"))))</f>
        <v>Orange</v>
      </c>
      <c r="P328" s="7" t="s">
        <v>610</v>
      </c>
      <c r="Q328" s="8"/>
    </row>
    <row r="329" spans="1:17" ht="28" x14ac:dyDescent="0.3">
      <c r="A329" s="3">
        <v>142.4</v>
      </c>
      <c r="B329" s="4" t="s">
        <v>386</v>
      </c>
      <c r="C329" s="5">
        <v>0</v>
      </c>
      <c r="D329" s="5">
        <v>15</v>
      </c>
      <c r="E329" s="5">
        <v>15</v>
      </c>
      <c r="F329" s="14">
        <f>C329+D329+E329</f>
        <v>30</v>
      </c>
      <c r="G329" s="7">
        <v>25</v>
      </c>
      <c r="H329" s="5">
        <v>0</v>
      </c>
      <c r="I329" s="5">
        <v>10</v>
      </c>
      <c r="J329" s="13">
        <f>G329+H329+I329</f>
        <v>35</v>
      </c>
      <c r="K329" s="7">
        <v>0</v>
      </c>
      <c r="L329" s="7">
        <v>0</v>
      </c>
      <c r="M329" s="13">
        <f>K329+L329</f>
        <v>0</v>
      </c>
      <c r="N329" s="6">
        <f>(MAX(F329,J329,M329))+((100-MAX(F329,J329,M329))*((MEDIAN(F329,J329,M329)+MIN(F329,J329,M329))/200))</f>
        <v>44.75</v>
      </c>
      <c r="O329" s="5" t="str">
        <f>IF(N329&gt;=80,"Red",IF(AND(N329&gt;=55,N329&lt;80),"Orange",IF(AND(N329&gt;=25,N329&lt;55),"Green",IF(N329&lt;25,"White"))))</f>
        <v>Green</v>
      </c>
      <c r="P329" s="7" t="s">
        <v>610</v>
      </c>
      <c r="Q329" s="8"/>
    </row>
    <row r="330" spans="1:17" ht="28" x14ac:dyDescent="0.3">
      <c r="A330" s="3">
        <v>143</v>
      </c>
      <c r="B330" s="4" t="s">
        <v>186</v>
      </c>
      <c r="C330" s="7"/>
      <c r="D330" s="5"/>
      <c r="E330" s="5"/>
      <c r="F330" s="14"/>
      <c r="G330" s="7"/>
      <c r="H330" s="5"/>
      <c r="I330" s="5"/>
      <c r="J330" s="14"/>
      <c r="K330" s="7"/>
      <c r="L330" s="7"/>
      <c r="M330" s="14"/>
      <c r="N330" s="6"/>
      <c r="O330" s="5"/>
      <c r="P330" s="7" t="s">
        <v>610</v>
      </c>
      <c r="Q330" s="8"/>
    </row>
    <row r="331" spans="1:17" ht="28" x14ac:dyDescent="0.3">
      <c r="A331" s="3">
        <v>143.1</v>
      </c>
      <c r="B331" s="4" t="s">
        <v>187</v>
      </c>
      <c r="C331" s="7">
        <v>20</v>
      </c>
      <c r="D331" s="5">
        <v>15</v>
      </c>
      <c r="E331" s="5">
        <v>15</v>
      </c>
      <c r="F331" s="13">
        <f>C331+D331+E331</f>
        <v>50</v>
      </c>
      <c r="G331" s="7">
        <v>25</v>
      </c>
      <c r="H331" s="5">
        <v>20</v>
      </c>
      <c r="I331" s="5">
        <v>25</v>
      </c>
      <c r="J331" s="13">
        <f>G331+H331+I331</f>
        <v>70</v>
      </c>
      <c r="K331" s="7">
        <v>20</v>
      </c>
      <c r="L331" s="7">
        <v>10</v>
      </c>
      <c r="M331" s="13">
        <f>K331+L331</f>
        <v>30</v>
      </c>
      <c r="N331" s="6">
        <f>(MAX(F331,J331,M331))+((100-MAX(F331,J331,M331))*((MEDIAN(F331,J331,M331)+MIN(F331,J331,M331))/200))</f>
        <v>82</v>
      </c>
      <c r="O331" s="5" t="str">
        <f>IF(N331&gt;=80,"Red",IF(AND(N331&gt;=55,N331&lt;80),"Orange",IF(AND(N331&gt;=25,N331&lt;55),"Green",IF(N331&lt;25,"White"))))</f>
        <v>Red</v>
      </c>
      <c r="P331" s="7" t="s">
        <v>610</v>
      </c>
      <c r="Q331" s="8"/>
    </row>
    <row r="332" spans="1:17" ht="28" x14ac:dyDescent="0.3">
      <c r="A332" s="3">
        <v>143.19999999999999</v>
      </c>
      <c r="B332" s="4" t="s">
        <v>289</v>
      </c>
      <c r="C332" s="7">
        <v>20</v>
      </c>
      <c r="D332" s="5">
        <v>15</v>
      </c>
      <c r="E332" s="5">
        <v>15</v>
      </c>
      <c r="F332" s="13">
        <f>C332+D332+E332</f>
        <v>50</v>
      </c>
      <c r="G332" s="7">
        <v>25</v>
      </c>
      <c r="H332" s="5">
        <v>20</v>
      </c>
      <c r="I332" s="5">
        <v>10</v>
      </c>
      <c r="J332" s="13">
        <f>G332+H332+I332</f>
        <v>55</v>
      </c>
      <c r="K332" s="7">
        <v>20</v>
      </c>
      <c r="L332" s="7">
        <v>10</v>
      </c>
      <c r="M332" s="13">
        <f>K332+L332</f>
        <v>30</v>
      </c>
      <c r="N332" s="6">
        <f>(MAX(F332,J332,M332))+((100-MAX(F332,J332,M332))*((MEDIAN(F332,J332,M332)+MIN(F332,J332,M332))/200))</f>
        <v>73</v>
      </c>
      <c r="O332" s="5" t="str">
        <f>IF(N332&gt;=80,"Red",IF(AND(N332&gt;=55,N332&lt;80),"Orange",IF(AND(N332&gt;=25,N332&lt;55),"Green",IF(N332&lt;25,"White"))))</f>
        <v>Orange</v>
      </c>
      <c r="P332" s="7" t="s">
        <v>610</v>
      </c>
      <c r="Q332" s="8"/>
    </row>
    <row r="333" spans="1:17" ht="56" x14ac:dyDescent="0.3">
      <c r="A333" s="3">
        <v>144</v>
      </c>
      <c r="B333" s="4" t="s">
        <v>389</v>
      </c>
      <c r="C333" s="5">
        <v>0</v>
      </c>
      <c r="D333" s="5">
        <v>15</v>
      </c>
      <c r="E333" s="5">
        <v>15</v>
      </c>
      <c r="F333" s="14">
        <f>C333+D333+E333</f>
        <v>30</v>
      </c>
      <c r="G333" s="7">
        <v>0</v>
      </c>
      <c r="H333" s="5">
        <v>30</v>
      </c>
      <c r="I333" s="5">
        <v>0</v>
      </c>
      <c r="J333" s="13">
        <f>G333+H333+I333</f>
        <v>30</v>
      </c>
      <c r="K333" s="7">
        <v>20</v>
      </c>
      <c r="L333" s="7">
        <v>10</v>
      </c>
      <c r="M333" s="13">
        <f>K333+L333</f>
        <v>30</v>
      </c>
      <c r="N333" s="6">
        <f>(MAX(F333,J333,M333))+((100-MAX(F333,J333,M333))*((MEDIAN(F333,J333,M333)+MIN(F333,J333,M333))/200))</f>
        <v>51</v>
      </c>
      <c r="O333" s="5" t="str">
        <f>IF(N333&gt;=80,"Red",IF(AND(N333&gt;=55,N333&lt;80),"Orange",IF(AND(N333&gt;=25,N333&lt;55),"Green",IF(N333&lt;25,"White"))))</f>
        <v>Green</v>
      </c>
      <c r="P333" s="7" t="s">
        <v>610</v>
      </c>
      <c r="Q333" s="8"/>
    </row>
    <row r="334" spans="1:17" ht="28" x14ac:dyDescent="0.3">
      <c r="A334" s="3">
        <v>145</v>
      </c>
      <c r="B334" s="4" t="s">
        <v>192</v>
      </c>
      <c r="C334" s="7"/>
      <c r="D334" s="5"/>
      <c r="E334" s="5"/>
      <c r="F334" s="14"/>
      <c r="G334" s="7"/>
      <c r="H334" s="5"/>
      <c r="I334" s="5"/>
      <c r="J334" s="14"/>
      <c r="K334" s="7"/>
      <c r="L334" s="7"/>
      <c r="M334" s="14"/>
      <c r="N334" s="6"/>
      <c r="O334" s="5"/>
      <c r="P334" s="7" t="s">
        <v>610</v>
      </c>
      <c r="Q334" s="8"/>
    </row>
    <row r="335" spans="1:17" ht="56" x14ac:dyDescent="0.3">
      <c r="A335" s="3">
        <v>145.1</v>
      </c>
      <c r="B335" s="4" t="s">
        <v>391</v>
      </c>
      <c r="C335" s="5">
        <v>25</v>
      </c>
      <c r="D335" s="5">
        <v>0</v>
      </c>
      <c r="E335" s="5">
        <v>20</v>
      </c>
      <c r="F335" s="14">
        <f>C335+D335+E335</f>
        <v>45</v>
      </c>
      <c r="G335" s="7">
        <v>25</v>
      </c>
      <c r="H335" s="5">
        <v>0</v>
      </c>
      <c r="I335" s="5">
        <v>25</v>
      </c>
      <c r="J335" s="13">
        <f>G335+H335+I335</f>
        <v>50</v>
      </c>
      <c r="K335" s="7">
        <v>0</v>
      </c>
      <c r="L335" s="7">
        <v>0</v>
      </c>
      <c r="M335" s="13">
        <f>K335+L335</f>
        <v>0</v>
      </c>
      <c r="N335" s="6">
        <f>(MAX(F335,J335,M335))+((100-MAX(F335,J335,M335))*((MEDIAN(F335,J335,M335)+MIN(F335,J335,M335))/200))</f>
        <v>61.25</v>
      </c>
      <c r="O335" s="5" t="str">
        <f>IF(N335&gt;=80,"Red",IF(AND(N335&gt;=55,N335&lt;80),"Orange",IF(AND(N335&gt;=25,N335&lt;55),"Green",IF(N335&lt;25,"White"))))</f>
        <v>Orange</v>
      </c>
      <c r="P335" s="7" t="s">
        <v>610</v>
      </c>
      <c r="Q335" s="8" t="s">
        <v>542</v>
      </c>
    </row>
    <row r="336" spans="1:17" ht="28" x14ac:dyDescent="0.3">
      <c r="A336" s="3">
        <v>145.19999999999999</v>
      </c>
      <c r="B336" s="4" t="s">
        <v>390</v>
      </c>
      <c r="C336" s="5">
        <v>0</v>
      </c>
      <c r="D336" s="5">
        <v>0</v>
      </c>
      <c r="E336" s="5">
        <v>0</v>
      </c>
      <c r="F336" s="14">
        <f>C336+D336+E336</f>
        <v>0</v>
      </c>
      <c r="G336" s="7">
        <v>0</v>
      </c>
      <c r="H336" s="5">
        <v>30</v>
      </c>
      <c r="I336" s="5">
        <v>0</v>
      </c>
      <c r="J336" s="13">
        <f>G336+H336+I336</f>
        <v>30</v>
      </c>
      <c r="K336" s="7">
        <v>0</v>
      </c>
      <c r="L336" s="7">
        <v>0</v>
      </c>
      <c r="M336" s="13">
        <f>K336+L336</f>
        <v>0</v>
      </c>
      <c r="N336" s="6">
        <f>(MAX(F336,J336,M336))+((100-MAX(F336,J336,M336))*((MEDIAN(F336,J336,M336)+MIN(F336,J336,M336))/200))</f>
        <v>30</v>
      </c>
      <c r="O336" s="5" t="str">
        <f>IF(N336&gt;=80,"Red",IF(AND(N336&gt;=55,N336&lt;80),"Orange",IF(AND(N336&gt;=25,N336&lt;55),"Green",IF(N336&lt;25,"White"))))</f>
        <v>Green</v>
      </c>
      <c r="P336" s="7" t="s">
        <v>610</v>
      </c>
      <c r="Q336" s="8"/>
    </row>
    <row r="337" spans="1:17" ht="28" x14ac:dyDescent="0.3">
      <c r="A337" s="3">
        <v>146</v>
      </c>
      <c r="B337" s="4" t="s">
        <v>270</v>
      </c>
      <c r="C337" s="5">
        <v>0</v>
      </c>
      <c r="D337" s="5">
        <v>0</v>
      </c>
      <c r="E337" s="5">
        <v>0</v>
      </c>
      <c r="F337" s="14">
        <f>C337+D337+E337</f>
        <v>0</v>
      </c>
      <c r="G337" s="5">
        <v>0</v>
      </c>
      <c r="H337" s="5">
        <v>0</v>
      </c>
      <c r="I337" s="5">
        <v>0</v>
      </c>
      <c r="J337" s="14">
        <f>G337+H337+I337</f>
        <v>0</v>
      </c>
      <c r="K337" s="5">
        <v>0</v>
      </c>
      <c r="L337" s="5">
        <v>0</v>
      </c>
      <c r="M337" s="14">
        <f>K337+L337</f>
        <v>0</v>
      </c>
      <c r="N337" s="6">
        <f>(MAX(F337,J337,M337))+((100-MAX(F337,J337,M337))*((MEDIAN(F337,J337,M337)+MIN(F337,J337,M337))/200))</f>
        <v>0</v>
      </c>
      <c r="O337" s="5" t="str">
        <f>IF(N337&gt;=80,"Red",IF(AND(N337&gt;=55,N337&lt;80),"Orange",IF(AND(N337&gt;=25,N337&lt;55),"Green",IF(N337&lt;25,"White"))))</f>
        <v>White</v>
      </c>
      <c r="P337" s="7" t="s">
        <v>610</v>
      </c>
      <c r="Q337" s="8"/>
    </row>
    <row r="338" spans="1:17" ht="28" x14ac:dyDescent="0.3">
      <c r="A338" s="3">
        <v>147</v>
      </c>
      <c r="B338" s="4" t="s">
        <v>410</v>
      </c>
      <c r="C338" s="5">
        <v>0</v>
      </c>
      <c r="D338" s="5">
        <v>0</v>
      </c>
      <c r="E338" s="5">
        <v>0</v>
      </c>
      <c r="F338" s="14">
        <f>C338+D338+E338</f>
        <v>0</v>
      </c>
      <c r="G338" s="5">
        <v>0</v>
      </c>
      <c r="H338" s="5">
        <v>0</v>
      </c>
      <c r="I338" s="5">
        <v>0</v>
      </c>
      <c r="J338" s="14">
        <f>G338+H338+I338</f>
        <v>0</v>
      </c>
      <c r="K338" s="5">
        <v>0</v>
      </c>
      <c r="L338" s="5">
        <v>0</v>
      </c>
      <c r="M338" s="14">
        <f>K338+L338</f>
        <v>0</v>
      </c>
      <c r="N338" s="6">
        <f>(MAX(F338,J338,M338))+((100-MAX(F338,J338,M338))*((MEDIAN(F338,J338,M338)+MIN(F338,J338,M338))/200))</f>
        <v>0</v>
      </c>
      <c r="O338" s="5" t="str">
        <f>IF(N338&gt;=80,"Red",IF(AND(N338&gt;=55,N338&lt;80),"Orange",IF(AND(N338&gt;=25,N338&lt;55),"Green",IF(N338&lt;25,"White"))))</f>
        <v>White</v>
      </c>
      <c r="P338" s="7" t="s">
        <v>610</v>
      </c>
      <c r="Q338" s="8"/>
    </row>
    <row r="339" spans="1:17" ht="28" x14ac:dyDescent="0.3">
      <c r="A339" s="3">
        <v>148</v>
      </c>
      <c r="B339" s="4" t="s">
        <v>484</v>
      </c>
      <c r="C339" s="5">
        <v>0</v>
      </c>
      <c r="D339" s="5">
        <v>0</v>
      </c>
      <c r="E339" s="5">
        <v>0</v>
      </c>
      <c r="F339" s="14">
        <f>C339+D339+E339</f>
        <v>0</v>
      </c>
      <c r="G339" s="5">
        <v>0</v>
      </c>
      <c r="H339" s="5">
        <v>0</v>
      </c>
      <c r="I339" s="5">
        <v>0</v>
      </c>
      <c r="J339" s="14">
        <f>G339+H339+I339</f>
        <v>0</v>
      </c>
      <c r="K339" s="5">
        <v>0</v>
      </c>
      <c r="L339" s="5">
        <v>0</v>
      </c>
      <c r="M339" s="14">
        <f>K339+L339</f>
        <v>0</v>
      </c>
      <c r="N339" s="6">
        <f>(MAX(F339,J339,M339))+((100-MAX(F339,J339,M339))*((MEDIAN(F339,J339,M339)+MIN(F339,J339,M339))/200))</f>
        <v>0</v>
      </c>
      <c r="O339" s="5" t="str">
        <f>IF(N339&gt;=80,"Red",IF(AND(N339&gt;=55,N339&lt;80),"Orange",IF(AND(N339&gt;=25,N339&lt;55),"Green",IF(N339&lt;25,"White"))))</f>
        <v>White</v>
      </c>
      <c r="P339" s="7" t="s">
        <v>610</v>
      </c>
      <c r="Q339" s="8"/>
    </row>
    <row r="340" spans="1:17" ht="126" x14ac:dyDescent="0.3">
      <c r="A340" s="3">
        <v>149</v>
      </c>
      <c r="B340" s="4" t="s">
        <v>470</v>
      </c>
      <c r="C340" s="2"/>
      <c r="D340" s="5"/>
      <c r="E340" s="5"/>
      <c r="F340" s="14"/>
      <c r="G340" s="2"/>
      <c r="H340" s="5"/>
      <c r="I340" s="5"/>
      <c r="J340" s="14"/>
      <c r="K340" s="2"/>
      <c r="L340" s="2"/>
      <c r="M340" s="14"/>
      <c r="N340" s="6"/>
      <c r="O340" s="5"/>
      <c r="P340" s="7" t="s">
        <v>610</v>
      </c>
      <c r="Q340" s="8"/>
    </row>
    <row r="341" spans="1:17" ht="28" x14ac:dyDescent="0.3">
      <c r="A341" s="3">
        <v>149.1</v>
      </c>
      <c r="B341" s="4" t="s">
        <v>17</v>
      </c>
      <c r="C341" s="2">
        <v>0</v>
      </c>
      <c r="D341" s="5">
        <v>30</v>
      </c>
      <c r="E341" s="5">
        <v>15</v>
      </c>
      <c r="F341" s="13">
        <f>C341+D341+E341</f>
        <v>45</v>
      </c>
      <c r="G341" s="2">
        <v>35</v>
      </c>
      <c r="H341" s="5">
        <v>25</v>
      </c>
      <c r="I341" s="5">
        <v>25</v>
      </c>
      <c r="J341" s="13">
        <f>G341+H341+I341</f>
        <v>85</v>
      </c>
      <c r="K341" s="7">
        <v>25</v>
      </c>
      <c r="L341" s="2">
        <v>10</v>
      </c>
      <c r="M341" s="13">
        <f>K341+L341</f>
        <v>35</v>
      </c>
      <c r="N341" s="6">
        <f>(MAX(F341,J341,M341))+((100-MAX(F341,J341,M341))*((MEDIAN(F341,J341,M341)+MIN(F341,J341,M341))/200))</f>
        <v>91</v>
      </c>
      <c r="O341" s="5" t="str">
        <f>IF(N341&gt;=80,"Red",IF(AND(N341&gt;=55,N341&lt;80),"Orange",IF(AND(N341&gt;=25,N341&lt;55),"Green",IF(N341&lt;25,"White"))))</f>
        <v>Red</v>
      </c>
      <c r="P341" s="7" t="s">
        <v>610</v>
      </c>
      <c r="Q341" s="8"/>
    </row>
    <row r="342" spans="1:17" ht="42" x14ac:dyDescent="0.3">
      <c r="A342" s="3">
        <v>149.19999999999999</v>
      </c>
      <c r="B342" s="4" t="s">
        <v>18</v>
      </c>
      <c r="C342" s="2">
        <v>0</v>
      </c>
      <c r="D342" s="5">
        <v>30</v>
      </c>
      <c r="E342" s="5">
        <v>15</v>
      </c>
      <c r="F342" s="13">
        <f>C342+D342+E342</f>
        <v>45</v>
      </c>
      <c r="G342" s="2">
        <v>35</v>
      </c>
      <c r="H342" s="5">
        <v>25</v>
      </c>
      <c r="I342" s="5">
        <v>10</v>
      </c>
      <c r="J342" s="13">
        <f>G342+H342+I342</f>
        <v>70</v>
      </c>
      <c r="K342" s="7">
        <v>25</v>
      </c>
      <c r="L342" s="2">
        <v>10</v>
      </c>
      <c r="M342" s="13">
        <f>K342+L342</f>
        <v>35</v>
      </c>
      <c r="N342" s="6">
        <f>(MAX(F342,J342,M342))+((100-MAX(F342,J342,M342))*((MEDIAN(F342,J342,M342)+MIN(F342,J342,M342))/200))</f>
        <v>82</v>
      </c>
      <c r="O342" s="5" t="str">
        <f>IF(N342&gt;=80,"Red",IF(AND(N342&gt;=55,N342&lt;80),"Orange",IF(AND(N342&gt;=25,N342&lt;55),"Green",IF(N342&lt;25,"White"))))</f>
        <v>Red</v>
      </c>
      <c r="P342" s="7" t="s">
        <v>610</v>
      </c>
      <c r="Q342" s="8"/>
    </row>
    <row r="343" spans="1:17" ht="28" x14ac:dyDescent="0.3">
      <c r="A343" s="3">
        <v>149.30000000000001</v>
      </c>
      <c r="B343" s="4" t="s">
        <v>19</v>
      </c>
      <c r="C343" s="5">
        <v>0</v>
      </c>
      <c r="D343" s="5">
        <v>0</v>
      </c>
      <c r="E343" s="5">
        <v>0</v>
      </c>
      <c r="F343" s="14">
        <f>C343+D343+E343</f>
        <v>0</v>
      </c>
      <c r="G343" s="5">
        <v>35</v>
      </c>
      <c r="H343" s="5">
        <v>25</v>
      </c>
      <c r="I343" s="5">
        <v>25</v>
      </c>
      <c r="J343" s="14">
        <f>G343+H343+I343</f>
        <v>85</v>
      </c>
      <c r="K343" s="7">
        <v>20</v>
      </c>
      <c r="L343" s="5">
        <v>10</v>
      </c>
      <c r="M343" s="14">
        <f>K343+L343</f>
        <v>30</v>
      </c>
      <c r="N343" s="6">
        <f>(MAX(F343,J343,M343))+((100-MAX(F343,J343,M343))*((MEDIAN(F343,J343,M343)+MIN(F343,J343,M343))/200))</f>
        <v>87.25</v>
      </c>
      <c r="O343" s="5" t="str">
        <f>IF(N343&gt;=80,"Red",IF(AND(N343&gt;=55,N343&lt;80),"Orange",IF(AND(N343&gt;=25,N343&lt;55),"Green",IF(N343&lt;25,"White"))))</f>
        <v>Red</v>
      </c>
      <c r="P343" s="7" t="s">
        <v>610</v>
      </c>
      <c r="Q343" s="8"/>
    </row>
    <row r="344" spans="1:17" ht="28" x14ac:dyDescent="0.3">
      <c r="A344" s="3">
        <v>149.4</v>
      </c>
      <c r="B344" s="4" t="s">
        <v>20</v>
      </c>
      <c r="C344" s="2">
        <v>0</v>
      </c>
      <c r="D344" s="5">
        <v>0</v>
      </c>
      <c r="E344" s="5">
        <v>0</v>
      </c>
      <c r="F344" s="13">
        <f>C344+D344+E344</f>
        <v>0</v>
      </c>
      <c r="G344" s="2">
        <v>35</v>
      </c>
      <c r="H344" s="5">
        <v>25</v>
      </c>
      <c r="I344" s="5">
        <v>10</v>
      </c>
      <c r="J344" s="13">
        <f>G344+H344+I344</f>
        <v>70</v>
      </c>
      <c r="K344" s="7">
        <v>20</v>
      </c>
      <c r="L344" s="2">
        <v>10</v>
      </c>
      <c r="M344" s="13">
        <f>K344+L344</f>
        <v>30</v>
      </c>
      <c r="N344" s="6">
        <f>(MAX(F344,J344,M344))+((100-MAX(F344,J344,M344))*((MEDIAN(F344,J344,M344)+MIN(F344,J344,M344))/200))</f>
        <v>74.5</v>
      </c>
      <c r="O344" s="5" t="str">
        <f>IF(N344&gt;=80,"Red",IF(AND(N344&gt;=55,N344&lt;80),"Orange",IF(AND(N344&gt;=25,N344&lt;55),"Green",IF(N344&lt;25,"White"))))</f>
        <v>Orange</v>
      </c>
      <c r="P344" s="7" t="s">
        <v>610</v>
      </c>
      <c r="Q344" s="8" t="s">
        <v>543</v>
      </c>
    </row>
    <row r="345" spans="1:17" ht="28" x14ac:dyDescent="0.3">
      <c r="A345" s="3">
        <v>149.5</v>
      </c>
      <c r="B345" s="4" t="s">
        <v>21</v>
      </c>
      <c r="C345" s="2">
        <v>0</v>
      </c>
      <c r="D345" s="5">
        <v>30</v>
      </c>
      <c r="E345" s="5">
        <v>15</v>
      </c>
      <c r="F345" s="13">
        <f>C345+D345+E345</f>
        <v>45</v>
      </c>
      <c r="G345" s="2">
        <v>30</v>
      </c>
      <c r="H345" s="5">
        <v>25</v>
      </c>
      <c r="I345" s="5">
        <v>0</v>
      </c>
      <c r="J345" s="13">
        <f>G345+H345+I345</f>
        <v>55</v>
      </c>
      <c r="K345" s="7">
        <v>25</v>
      </c>
      <c r="L345" s="2">
        <v>10</v>
      </c>
      <c r="M345" s="13">
        <f>K345+L345</f>
        <v>35</v>
      </c>
      <c r="N345" s="6">
        <f>(MAX(F345,J345,M345))+((100-MAX(F345,J345,M345))*((MEDIAN(F345,J345,M345)+MIN(F345,J345,M345))/200))</f>
        <v>73</v>
      </c>
      <c r="O345" s="5" t="str">
        <f>IF(N345&gt;=80,"Red",IF(AND(N345&gt;=55,N345&lt;80),"Orange",IF(AND(N345&gt;=25,N345&lt;55),"Green",IF(N345&lt;25,"White"))))</f>
        <v>Orange</v>
      </c>
      <c r="P345" s="7" t="s">
        <v>610</v>
      </c>
      <c r="Q345" s="8"/>
    </row>
    <row r="346" spans="1:17" ht="28" x14ac:dyDescent="0.3">
      <c r="A346" s="3">
        <v>150</v>
      </c>
      <c r="B346" s="4" t="s">
        <v>26</v>
      </c>
      <c r="C346" s="5"/>
      <c r="D346" s="5"/>
      <c r="E346" s="5"/>
      <c r="F346" s="14"/>
      <c r="G346" s="7"/>
      <c r="H346" s="7"/>
      <c r="I346" s="7"/>
      <c r="J346" s="14"/>
      <c r="K346" s="7"/>
      <c r="L346" s="7"/>
      <c r="M346" s="14"/>
      <c r="N346" s="6"/>
      <c r="O346" s="5"/>
      <c r="P346" s="7" t="s">
        <v>610</v>
      </c>
      <c r="Q346" s="8"/>
    </row>
    <row r="347" spans="1:17" ht="140" x14ac:dyDescent="0.3">
      <c r="A347" s="3">
        <v>150.1</v>
      </c>
      <c r="B347" s="4" t="s">
        <v>520</v>
      </c>
      <c r="C347" s="2">
        <v>30</v>
      </c>
      <c r="D347" s="5">
        <v>30</v>
      </c>
      <c r="E347" s="5">
        <v>20</v>
      </c>
      <c r="F347" s="13">
        <f>C347+D347+E347</f>
        <v>80</v>
      </c>
      <c r="G347" s="2">
        <v>35</v>
      </c>
      <c r="H347" s="5">
        <v>25</v>
      </c>
      <c r="I347" s="5">
        <v>15</v>
      </c>
      <c r="J347" s="13">
        <f>G347+H347+I347</f>
        <v>75</v>
      </c>
      <c r="K347" s="7">
        <v>25</v>
      </c>
      <c r="L347" s="2">
        <v>20</v>
      </c>
      <c r="M347" s="13">
        <f>K347+L347</f>
        <v>45</v>
      </c>
      <c r="N347" s="6">
        <f>(MAX(F347,J347,M347))+((100-MAX(F347,J347,M347))*((MEDIAN(F347,J347,M347)+MIN(F347,J347,M347))/200))</f>
        <v>92</v>
      </c>
      <c r="O347" s="5" t="str">
        <f>IF(N347&gt;=80,"Red",IF(AND(N347&gt;=55,N347&lt;80),"Orange",IF(AND(N347&gt;=25,N347&lt;55),"Green",IF(N347&lt;25,"White"))))</f>
        <v>Red</v>
      </c>
      <c r="P347" s="7" t="s">
        <v>610</v>
      </c>
      <c r="Q347" s="8"/>
    </row>
    <row r="348" spans="1:17" ht="154" x14ac:dyDescent="0.3">
      <c r="A348" s="3">
        <v>150.19999999999999</v>
      </c>
      <c r="B348" s="4" t="s">
        <v>430</v>
      </c>
      <c r="C348" s="5">
        <v>0</v>
      </c>
      <c r="D348" s="5">
        <v>15</v>
      </c>
      <c r="E348" s="5">
        <v>15</v>
      </c>
      <c r="F348" s="14">
        <f>C348+D348+E348</f>
        <v>30</v>
      </c>
      <c r="G348" s="2">
        <v>20</v>
      </c>
      <c r="H348" s="2">
        <v>25</v>
      </c>
      <c r="I348" s="2">
        <v>15</v>
      </c>
      <c r="J348" s="13">
        <f>G348+H348+I348</f>
        <v>60</v>
      </c>
      <c r="K348" s="7">
        <v>25</v>
      </c>
      <c r="L348" s="2">
        <v>10</v>
      </c>
      <c r="M348" s="13">
        <f>K348+L348</f>
        <v>35</v>
      </c>
      <c r="N348" s="6">
        <f>(MAX(F348,J348,M348))+((100-MAX(F348,J348,M348))*((MEDIAN(F348,J348,M348)+MIN(F348,J348,M348))/200))</f>
        <v>73</v>
      </c>
      <c r="O348" s="5" t="str">
        <f>IF(N348&gt;=80,"Red",IF(AND(N348&gt;=55,N348&lt;80),"Orange",IF(AND(N348&gt;=25,N348&lt;55),"Green",IF(N348&lt;25,"White"))))</f>
        <v>Orange</v>
      </c>
      <c r="P348" s="7" t="s">
        <v>610</v>
      </c>
      <c r="Q348" s="8"/>
    </row>
    <row r="349" spans="1:17" ht="70" x14ac:dyDescent="0.3">
      <c r="A349" s="3">
        <v>150.30000000000001</v>
      </c>
      <c r="B349" s="4" t="s">
        <v>509</v>
      </c>
      <c r="C349" s="5">
        <v>0</v>
      </c>
      <c r="D349" s="5">
        <v>0</v>
      </c>
      <c r="E349" s="5">
        <v>0</v>
      </c>
      <c r="F349" s="14">
        <f>C349+D349+E349</f>
        <v>0</v>
      </c>
      <c r="G349" s="5">
        <v>0</v>
      </c>
      <c r="H349" s="5">
        <v>25</v>
      </c>
      <c r="I349" s="5">
        <v>0</v>
      </c>
      <c r="J349" s="14">
        <f>G349+H349+I349</f>
        <v>25</v>
      </c>
      <c r="K349" s="7">
        <v>25</v>
      </c>
      <c r="L349" s="5">
        <v>10</v>
      </c>
      <c r="M349" s="14">
        <f>K349+L349</f>
        <v>35</v>
      </c>
      <c r="N349" s="6">
        <f>(MAX(F349,J349,M349))+((100-MAX(F349,J349,M349))*((MEDIAN(F349,J349,M349)+MIN(F349,J349,M349))/200))</f>
        <v>43.125</v>
      </c>
      <c r="O349" s="5" t="str">
        <f>IF(N349&gt;=80,"Red",IF(AND(N349&gt;=55,N349&lt;80),"Orange",IF(AND(N349&gt;=25,N349&lt;55),"Green",IF(N349&lt;25,"White"))))</f>
        <v>Green</v>
      </c>
      <c r="P349" s="7" t="s">
        <v>610</v>
      </c>
      <c r="Q349" s="8"/>
    </row>
    <row r="350" spans="1:17" ht="28" x14ac:dyDescent="0.3">
      <c r="A350" s="3">
        <v>150.4</v>
      </c>
      <c r="B350" s="4" t="s">
        <v>506</v>
      </c>
      <c r="C350" s="5">
        <v>0</v>
      </c>
      <c r="D350" s="5">
        <v>0</v>
      </c>
      <c r="E350" s="5">
        <v>0</v>
      </c>
      <c r="F350" s="14">
        <v>0</v>
      </c>
      <c r="G350" s="5">
        <v>0</v>
      </c>
      <c r="H350" s="5">
        <v>25</v>
      </c>
      <c r="I350" s="5">
        <v>0</v>
      </c>
      <c r="J350" s="14">
        <f>G350+H350+I350</f>
        <v>25</v>
      </c>
      <c r="K350" s="7">
        <v>25</v>
      </c>
      <c r="L350" s="5">
        <v>10</v>
      </c>
      <c r="M350" s="14">
        <v>35</v>
      </c>
      <c r="N350" s="6">
        <v>43.1</v>
      </c>
      <c r="O350" s="5" t="str">
        <f>IF(N350&gt;=80,"Red",IF(AND(N350&gt;=55,N350&lt;80),"Orange",IF(AND(N350&gt;=25,N350&lt;55),"Green",IF(N350&lt;25,"White"))))</f>
        <v>Green</v>
      </c>
      <c r="P350" s="7" t="s">
        <v>610</v>
      </c>
      <c r="Q350" s="8"/>
    </row>
    <row r="351" spans="1:17" ht="42" x14ac:dyDescent="0.3">
      <c r="A351" s="3">
        <v>151</v>
      </c>
      <c r="B351" s="4" t="s">
        <v>368</v>
      </c>
      <c r="C351" s="2"/>
      <c r="D351" s="5"/>
      <c r="E351" s="5"/>
      <c r="F351" s="14"/>
      <c r="G351" s="7"/>
      <c r="H351" s="5"/>
      <c r="I351" s="5"/>
      <c r="J351" s="14"/>
      <c r="K351" s="7"/>
      <c r="L351" s="7"/>
      <c r="M351" s="14"/>
      <c r="N351" s="6"/>
      <c r="O351" s="5"/>
      <c r="P351" s="7" t="s">
        <v>610</v>
      </c>
      <c r="Q351" s="8"/>
    </row>
    <row r="352" spans="1:17" ht="98" x14ac:dyDescent="0.3">
      <c r="A352" s="3">
        <v>151.1</v>
      </c>
      <c r="B352" s="4" t="s">
        <v>315</v>
      </c>
      <c r="C352" s="7">
        <v>0</v>
      </c>
      <c r="D352" s="7">
        <v>30</v>
      </c>
      <c r="E352" s="7">
        <v>20</v>
      </c>
      <c r="F352" s="13">
        <f t="shared" ref="F352:F359" si="73">C352+D352+E352</f>
        <v>50</v>
      </c>
      <c r="G352" s="7">
        <v>35</v>
      </c>
      <c r="H352" s="7">
        <v>30</v>
      </c>
      <c r="I352" s="7">
        <v>25</v>
      </c>
      <c r="J352" s="13">
        <f t="shared" ref="J352:J359" si="74">G352+H352+I352</f>
        <v>90</v>
      </c>
      <c r="K352" s="7">
        <v>20</v>
      </c>
      <c r="L352" s="7">
        <v>20</v>
      </c>
      <c r="M352" s="13">
        <f t="shared" ref="M352:M359" si="75">K352+L352</f>
        <v>40</v>
      </c>
      <c r="N352" s="6">
        <f t="shared" ref="N352:N359" si="76">(MAX(F352,J352,M352))+((100-MAX(F352,J352,M352))*((MEDIAN(F352,J352,M352)+MIN(F352,J352,M352))/200))</f>
        <v>94.5</v>
      </c>
      <c r="O352" s="5" t="str">
        <f t="shared" ref="O352:O359" si="77">IF(N352&gt;=80,"Red",IF(AND(N352&gt;=55,N352&lt;80),"Orange",IF(AND(N352&gt;=25,N352&lt;55),"Green",IF(N352&lt;25,"White"))))</f>
        <v>Red</v>
      </c>
      <c r="P352" s="7" t="s">
        <v>610</v>
      </c>
      <c r="Q352" s="8" t="s">
        <v>527</v>
      </c>
    </row>
    <row r="353" spans="1:17" ht="98" x14ac:dyDescent="0.3">
      <c r="A353" s="3">
        <v>151.19999999999999</v>
      </c>
      <c r="B353" s="4" t="s">
        <v>48</v>
      </c>
      <c r="C353" s="7">
        <v>0</v>
      </c>
      <c r="D353" s="7">
        <v>30</v>
      </c>
      <c r="E353" s="7">
        <v>15</v>
      </c>
      <c r="F353" s="13">
        <f t="shared" si="73"/>
        <v>45</v>
      </c>
      <c r="G353" s="7">
        <v>35</v>
      </c>
      <c r="H353" s="7">
        <v>30</v>
      </c>
      <c r="I353" s="7">
        <v>10</v>
      </c>
      <c r="J353" s="13">
        <f t="shared" si="74"/>
        <v>75</v>
      </c>
      <c r="K353" s="7">
        <v>20</v>
      </c>
      <c r="L353" s="7">
        <v>10</v>
      </c>
      <c r="M353" s="13">
        <f t="shared" si="75"/>
        <v>30</v>
      </c>
      <c r="N353" s="6">
        <f t="shared" si="76"/>
        <v>84.375</v>
      </c>
      <c r="O353" s="5" t="str">
        <f t="shared" si="77"/>
        <v>Red</v>
      </c>
      <c r="P353" s="7" t="s">
        <v>610</v>
      </c>
      <c r="Q353" s="8" t="s">
        <v>528</v>
      </c>
    </row>
    <row r="354" spans="1:17" ht="56" x14ac:dyDescent="0.3">
      <c r="A354" s="3">
        <v>151.30000000000001</v>
      </c>
      <c r="B354" s="4" t="s">
        <v>421</v>
      </c>
      <c r="C354" s="5">
        <v>10</v>
      </c>
      <c r="D354" s="5">
        <v>25</v>
      </c>
      <c r="E354" s="5">
        <v>15</v>
      </c>
      <c r="F354" s="14">
        <f t="shared" si="73"/>
        <v>50</v>
      </c>
      <c r="G354" s="5">
        <v>20</v>
      </c>
      <c r="H354" s="5">
        <v>25</v>
      </c>
      <c r="I354" s="5">
        <v>0</v>
      </c>
      <c r="J354" s="14">
        <f t="shared" si="74"/>
        <v>45</v>
      </c>
      <c r="K354" s="5">
        <v>30</v>
      </c>
      <c r="L354" s="5">
        <v>10</v>
      </c>
      <c r="M354" s="14">
        <f t="shared" si="75"/>
        <v>40</v>
      </c>
      <c r="N354" s="6">
        <f t="shared" si="76"/>
        <v>71.25</v>
      </c>
      <c r="O354" s="5" t="str">
        <f t="shared" si="77"/>
        <v>Orange</v>
      </c>
      <c r="P354" s="7" t="s">
        <v>610</v>
      </c>
      <c r="Q354" s="8"/>
    </row>
    <row r="355" spans="1:17" ht="28" x14ac:dyDescent="0.3">
      <c r="A355" s="3">
        <v>151.4</v>
      </c>
      <c r="B355" s="4" t="s">
        <v>369</v>
      </c>
      <c r="C355" s="5">
        <v>20</v>
      </c>
      <c r="D355" s="5">
        <v>25</v>
      </c>
      <c r="E355" s="5">
        <v>15</v>
      </c>
      <c r="F355" s="14">
        <f t="shared" si="73"/>
        <v>60</v>
      </c>
      <c r="G355" s="7">
        <v>0</v>
      </c>
      <c r="H355" s="7">
        <v>20</v>
      </c>
      <c r="I355" s="7">
        <v>0</v>
      </c>
      <c r="J355" s="13">
        <f t="shared" si="74"/>
        <v>20</v>
      </c>
      <c r="K355" s="5">
        <v>30</v>
      </c>
      <c r="L355" s="7">
        <v>10</v>
      </c>
      <c r="M355" s="13">
        <f t="shared" si="75"/>
        <v>40</v>
      </c>
      <c r="N355" s="6">
        <f t="shared" si="76"/>
        <v>72</v>
      </c>
      <c r="O355" s="5" t="str">
        <f t="shared" si="77"/>
        <v>Orange</v>
      </c>
      <c r="P355" s="7" t="s">
        <v>610</v>
      </c>
      <c r="Q355" s="8" t="s">
        <v>546</v>
      </c>
    </row>
    <row r="356" spans="1:17" ht="70" x14ac:dyDescent="0.3">
      <c r="A356" s="3">
        <v>151.5</v>
      </c>
      <c r="B356" s="4" t="s">
        <v>370</v>
      </c>
      <c r="C356" s="5">
        <v>0</v>
      </c>
      <c r="D356" s="5">
        <v>30</v>
      </c>
      <c r="E356" s="5">
        <v>15</v>
      </c>
      <c r="F356" s="14">
        <f t="shared" si="73"/>
        <v>45</v>
      </c>
      <c r="G356" s="7">
        <v>35</v>
      </c>
      <c r="H356" s="7">
        <v>0</v>
      </c>
      <c r="I356" s="7">
        <v>25</v>
      </c>
      <c r="J356" s="13">
        <f t="shared" si="74"/>
        <v>60</v>
      </c>
      <c r="K356" s="7">
        <v>20</v>
      </c>
      <c r="L356" s="7">
        <v>10</v>
      </c>
      <c r="M356" s="13">
        <f t="shared" si="75"/>
        <v>30</v>
      </c>
      <c r="N356" s="6">
        <f t="shared" si="76"/>
        <v>75</v>
      </c>
      <c r="O356" s="5" t="str">
        <f t="shared" si="77"/>
        <v>Orange</v>
      </c>
      <c r="P356" s="7" t="s">
        <v>610</v>
      </c>
      <c r="Q356" s="8"/>
    </row>
    <row r="357" spans="1:17" ht="28" x14ac:dyDescent="0.3">
      <c r="A357" s="3">
        <v>151.6</v>
      </c>
      <c r="B357" s="4" t="s">
        <v>392</v>
      </c>
      <c r="C357" s="7">
        <v>10</v>
      </c>
      <c r="D357" s="7">
        <v>25</v>
      </c>
      <c r="E357" s="7">
        <v>25</v>
      </c>
      <c r="F357" s="13">
        <f t="shared" si="73"/>
        <v>60</v>
      </c>
      <c r="G357" s="7">
        <v>25</v>
      </c>
      <c r="H357" s="7">
        <v>0</v>
      </c>
      <c r="I357" s="7">
        <v>25</v>
      </c>
      <c r="J357" s="13">
        <f t="shared" si="74"/>
        <v>50</v>
      </c>
      <c r="K357" s="7">
        <v>20</v>
      </c>
      <c r="L357" s="7">
        <v>20</v>
      </c>
      <c r="M357" s="13">
        <f t="shared" si="75"/>
        <v>40</v>
      </c>
      <c r="N357" s="6">
        <f t="shared" si="76"/>
        <v>78</v>
      </c>
      <c r="O357" s="5" t="str">
        <f t="shared" si="77"/>
        <v>Orange</v>
      </c>
      <c r="P357" s="7" t="s">
        <v>610</v>
      </c>
      <c r="Q357" s="8"/>
    </row>
    <row r="358" spans="1:17" ht="56" x14ac:dyDescent="0.3">
      <c r="A358" s="3">
        <v>151.69999999999999</v>
      </c>
      <c r="B358" s="4" t="s">
        <v>442</v>
      </c>
      <c r="C358" s="7">
        <v>10</v>
      </c>
      <c r="D358" s="7">
        <v>25</v>
      </c>
      <c r="E358" s="7">
        <v>15</v>
      </c>
      <c r="F358" s="13">
        <f t="shared" si="73"/>
        <v>50</v>
      </c>
      <c r="G358" s="7">
        <v>25</v>
      </c>
      <c r="H358" s="7">
        <v>0</v>
      </c>
      <c r="I358" s="7">
        <v>15</v>
      </c>
      <c r="J358" s="13">
        <f t="shared" si="74"/>
        <v>40</v>
      </c>
      <c r="K358" s="7">
        <v>20</v>
      </c>
      <c r="L358" s="7">
        <v>10</v>
      </c>
      <c r="M358" s="13">
        <f t="shared" si="75"/>
        <v>30</v>
      </c>
      <c r="N358" s="6">
        <f t="shared" si="76"/>
        <v>67.5</v>
      </c>
      <c r="O358" s="5" t="str">
        <f t="shared" si="77"/>
        <v>Orange</v>
      </c>
      <c r="P358" s="7" t="s">
        <v>610</v>
      </c>
      <c r="Q358" s="8" t="s">
        <v>547</v>
      </c>
    </row>
    <row r="359" spans="1:17" ht="28" x14ac:dyDescent="0.3">
      <c r="A359" s="3">
        <v>151.80000000000001</v>
      </c>
      <c r="B359" s="4" t="s">
        <v>393</v>
      </c>
      <c r="C359" s="5">
        <v>20</v>
      </c>
      <c r="D359" s="5">
        <v>25</v>
      </c>
      <c r="E359" s="5">
        <v>15</v>
      </c>
      <c r="F359" s="14">
        <f t="shared" si="73"/>
        <v>60</v>
      </c>
      <c r="G359" s="7">
        <v>25</v>
      </c>
      <c r="H359" s="7">
        <v>0</v>
      </c>
      <c r="I359" s="7">
        <v>15</v>
      </c>
      <c r="J359" s="13">
        <f t="shared" si="74"/>
        <v>40</v>
      </c>
      <c r="K359" s="7">
        <v>20</v>
      </c>
      <c r="L359" s="7">
        <v>10</v>
      </c>
      <c r="M359" s="13">
        <f t="shared" si="75"/>
        <v>30</v>
      </c>
      <c r="N359" s="6">
        <f t="shared" si="76"/>
        <v>74</v>
      </c>
      <c r="O359" s="5" t="str">
        <f t="shared" si="77"/>
        <v>Orange</v>
      </c>
      <c r="P359" s="7" t="s">
        <v>610</v>
      </c>
      <c r="Q359" s="8"/>
    </row>
    <row r="360" spans="1:17" ht="28" x14ac:dyDescent="0.3">
      <c r="A360" s="3">
        <v>152</v>
      </c>
      <c r="B360" s="4" t="s">
        <v>168</v>
      </c>
      <c r="C360" s="7"/>
      <c r="D360" s="5"/>
      <c r="E360" s="5"/>
      <c r="F360" s="13"/>
      <c r="G360" s="7"/>
      <c r="H360" s="5"/>
      <c r="I360" s="5"/>
      <c r="J360" s="13"/>
      <c r="K360" s="7"/>
      <c r="L360" s="7"/>
      <c r="M360" s="13"/>
      <c r="N360" s="6"/>
      <c r="O360" s="5"/>
      <c r="P360" s="7" t="s">
        <v>610</v>
      </c>
      <c r="Q360" s="8"/>
    </row>
    <row r="361" spans="1:17" ht="42" x14ac:dyDescent="0.3">
      <c r="A361" s="3">
        <v>152.1</v>
      </c>
      <c r="B361" s="4" t="s">
        <v>379</v>
      </c>
      <c r="C361" s="2">
        <v>20</v>
      </c>
      <c r="D361" s="5">
        <v>15</v>
      </c>
      <c r="E361" s="5">
        <v>25</v>
      </c>
      <c r="F361" s="13">
        <f>C361+D361+E361</f>
        <v>60</v>
      </c>
      <c r="G361" s="2">
        <v>0</v>
      </c>
      <c r="H361" s="5">
        <v>20</v>
      </c>
      <c r="I361" s="5">
        <v>0</v>
      </c>
      <c r="J361" s="13">
        <f>G361+H361+I361</f>
        <v>20</v>
      </c>
      <c r="K361" s="2">
        <v>0</v>
      </c>
      <c r="L361" s="2">
        <v>0</v>
      </c>
      <c r="M361" s="13">
        <f>K361+L361</f>
        <v>0</v>
      </c>
      <c r="N361" s="6">
        <f>(MAX(F361,J361,M361))+((100-MAX(F361,J361,M361))*((MEDIAN(F361,J361,M361)+MIN(F361,J361,M361))/200))</f>
        <v>64</v>
      </c>
      <c r="O361" s="5" t="str">
        <f>IF(N361&gt;=80,"Red",IF(AND(N361&gt;=55,N361&lt;80),"Orange",IF(AND(N361&gt;=25,N361&lt;55),"Green",IF(N361&lt;25,"White"))))</f>
        <v>Orange</v>
      </c>
      <c r="P361" s="7" t="s">
        <v>610</v>
      </c>
      <c r="Q361" s="8"/>
    </row>
    <row r="362" spans="1:17" ht="28" x14ac:dyDescent="0.3">
      <c r="A362" s="3">
        <v>152.19999999999999</v>
      </c>
      <c r="B362" s="4" t="s">
        <v>427</v>
      </c>
      <c r="C362" s="7">
        <v>20</v>
      </c>
      <c r="D362" s="5">
        <v>15</v>
      </c>
      <c r="E362" s="5">
        <v>15</v>
      </c>
      <c r="F362" s="13">
        <f>C362+D362+E362</f>
        <v>50</v>
      </c>
      <c r="G362" s="7">
        <v>0</v>
      </c>
      <c r="H362" s="5">
        <v>20</v>
      </c>
      <c r="I362" s="5">
        <v>0</v>
      </c>
      <c r="J362" s="13">
        <f>G362+H362+I362</f>
        <v>20</v>
      </c>
      <c r="K362" s="7">
        <v>0</v>
      </c>
      <c r="L362" s="7">
        <v>0</v>
      </c>
      <c r="M362" s="13">
        <f>K362+L362</f>
        <v>0</v>
      </c>
      <c r="N362" s="6">
        <f>(MAX(F362,J362,M362))+((100-MAX(F362,J362,M362))*((MEDIAN(F362,J362,M362)+MIN(F362,J362,M362))/200))</f>
        <v>55</v>
      </c>
      <c r="O362" s="5" t="str">
        <f>IF(N362&gt;=80,"Red",IF(AND(N362&gt;=55,N362&lt;80),"Orange",IF(AND(N362&gt;=25,N362&lt;55),"Green",IF(N362&lt;25,"White"))))</f>
        <v>Orange</v>
      </c>
      <c r="P362" s="7" t="s">
        <v>610</v>
      </c>
      <c r="Q362" s="8"/>
    </row>
    <row r="363" spans="1:17" ht="28" x14ac:dyDescent="0.3">
      <c r="A363" s="3">
        <v>153</v>
      </c>
      <c r="B363" s="4" t="s">
        <v>194</v>
      </c>
      <c r="C363" s="5"/>
      <c r="D363" s="5"/>
      <c r="E363" s="5"/>
      <c r="F363" s="14"/>
      <c r="G363" s="5"/>
      <c r="H363" s="5"/>
      <c r="I363" s="5"/>
      <c r="J363" s="14"/>
      <c r="K363" s="5"/>
      <c r="L363" s="5"/>
      <c r="M363" s="14"/>
      <c r="N363" s="6"/>
      <c r="O363" s="5"/>
      <c r="P363" s="7" t="s">
        <v>610</v>
      </c>
      <c r="Q363" s="8"/>
    </row>
    <row r="364" spans="1:17" ht="42" x14ac:dyDescent="0.3">
      <c r="A364" s="3">
        <v>153.1</v>
      </c>
      <c r="B364" s="4" t="s">
        <v>195</v>
      </c>
      <c r="C364" s="5">
        <v>0</v>
      </c>
      <c r="D364" s="5">
        <v>30</v>
      </c>
      <c r="E364" s="5">
        <v>15</v>
      </c>
      <c r="F364" s="14">
        <f t="shared" ref="F364:F375" si="78">C364+D364+E364</f>
        <v>45</v>
      </c>
      <c r="G364" s="5">
        <v>0</v>
      </c>
      <c r="H364" s="5">
        <v>30</v>
      </c>
      <c r="I364" s="5">
        <v>0</v>
      </c>
      <c r="J364" s="14">
        <f t="shared" ref="J364:J375" si="79">G364+H364+I364</f>
        <v>30</v>
      </c>
      <c r="K364" s="7">
        <v>25</v>
      </c>
      <c r="L364" s="5">
        <v>10</v>
      </c>
      <c r="M364" s="14">
        <f t="shared" ref="M364:M375" si="80">K364+L364</f>
        <v>35</v>
      </c>
      <c r="N364" s="6">
        <f t="shared" ref="N364:N375" si="81">(MAX(F364,J364,M364))+((100-MAX(F364,J364,M364))*((MEDIAN(F364,J364,M364)+MIN(F364,J364,M364))/200))</f>
        <v>62.875</v>
      </c>
      <c r="O364" s="5" t="str">
        <f t="shared" ref="O364:O375" si="82">IF(N364&gt;=80,"Red",IF(AND(N364&gt;=55,N364&lt;80),"Orange",IF(AND(N364&gt;=25,N364&lt;55),"Green",IF(N364&lt;25,"White"))))</f>
        <v>Orange</v>
      </c>
      <c r="P364" s="7" t="s">
        <v>610</v>
      </c>
      <c r="Q364" s="8" t="s">
        <v>548</v>
      </c>
    </row>
    <row r="365" spans="1:17" ht="28" x14ac:dyDescent="0.3">
      <c r="A365" s="3">
        <v>153.19999999999999</v>
      </c>
      <c r="B365" s="4" t="s">
        <v>196</v>
      </c>
      <c r="C365" s="5">
        <v>0</v>
      </c>
      <c r="D365" s="5">
        <v>30</v>
      </c>
      <c r="E365" s="5">
        <v>15</v>
      </c>
      <c r="F365" s="14">
        <f t="shared" si="78"/>
        <v>45</v>
      </c>
      <c r="G365" s="5">
        <v>0</v>
      </c>
      <c r="H365" s="5">
        <v>30</v>
      </c>
      <c r="I365" s="5">
        <v>0</v>
      </c>
      <c r="J365" s="14">
        <f t="shared" si="79"/>
        <v>30</v>
      </c>
      <c r="K365" s="7">
        <v>25</v>
      </c>
      <c r="L365" s="5">
        <v>10</v>
      </c>
      <c r="M365" s="14">
        <f t="shared" si="80"/>
        <v>35</v>
      </c>
      <c r="N365" s="6">
        <f t="shared" si="81"/>
        <v>62.875</v>
      </c>
      <c r="O365" s="5" t="str">
        <f t="shared" si="82"/>
        <v>Orange</v>
      </c>
      <c r="P365" s="7" t="s">
        <v>610</v>
      </c>
      <c r="Q365" s="8"/>
    </row>
    <row r="366" spans="1:17" ht="28" x14ac:dyDescent="0.3">
      <c r="A366" s="3">
        <v>153.30000000000001</v>
      </c>
      <c r="B366" s="4" t="s">
        <v>197</v>
      </c>
      <c r="C366" s="5">
        <v>0</v>
      </c>
      <c r="D366" s="5">
        <v>0</v>
      </c>
      <c r="E366" s="5">
        <v>0</v>
      </c>
      <c r="F366" s="14">
        <f t="shared" si="78"/>
        <v>0</v>
      </c>
      <c r="G366" s="5">
        <v>0</v>
      </c>
      <c r="H366" s="5">
        <v>30</v>
      </c>
      <c r="I366" s="5">
        <v>0</v>
      </c>
      <c r="J366" s="14">
        <f t="shared" si="79"/>
        <v>30</v>
      </c>
      <c r="K366" s="7">
        <v>25</v>
      </c>
      <c r="L366" s="5">
        <v>10</v>
      </c>
      <c r="M366" s="14">
        <f t="shared" si="80"/>
        <v>35</v>
      </c>
      <c r="N366" s="6">
        <f t="shared" si="81"/>
        <v>44.75</v>
      </c>
      <c r="O366" s="5" t="str">
        <f t="shared" si="82"/>
        <v>Green</v>
      </c>
      <c r="P366" s="7" t="s">
        <v>610</v>
      </c>
      <c r="Q366" s="8"/>
    </row>
    <row r="367" spans="1:17" ht="28" x14ac:dyDescent="0.3">
      <c r="A367" s="3">
        <v>153.4</v>
      </c>
      <c r="B367" s="4" t="s">
        <v>459</v>
      </c>
      <c r="C367" s="5">
        <v>0</v>
      </c>
      <c r="D367" s="5">
        <v>0</v>
      </c>
      <c r="E367" s="5">
        <v>0</v>
      </c>
      <c r="F367" s="14">
        <f t="shared" si="78"/>
        <v>0</v>
      </c>
      <c r="G367" s="5">
        <v>0</v>
      </c>
      <c r="H367" s="5">
        <v>0</v>
      </c>
      <c r="I367" s="5">
        <v>0</v>
      </c>
      <c r="J367" s="14">
        <f t="shared" si="79"/>
        <v>0</v>
      </c>
      <c r="K367" s="5">
        <v>0</v>
      </c>
      <c r="L367" s="5">
        <v>0</v>
      </c>
      <c r="M367" s="14">
        <f t="shared" si="80"/>
        <v>0</v>
      </c>
      <c r="N367" s="6">
        <f t="shared" si="81"/>
        <v>0</v>
      </c>
      <c r="O367" s="5" t="str">
        <f t="shared" si="82"/>
        <v>White</v>
      </c>
      <c r="P367" s="7" t="s">
        <v>610</v>
      </c>
      <c r="Q367" s="8"/>
    </row>
    <row r="368" spans="1:17" ht="42" x14ac:dyDescent="0.3">
      <c r="A368" s="3">
        <v>154</v>
      </c>
      <c r="B368" s="4" t="s">
        <v>22</v>
      </c>
      <c r="C368" s="7">
        <v>30</v>
      </c>
      <c r="D368" s="7">
        <v>25</v>
      </c>
      <c r="E368" s="7">
        <v>35</v>
      </c>
      <c r="F368" s="13">
        <f t="shared" si="78"/>
        <v>90</v>
      </c>
      <c r="G368" s="7">
        <v>25</v>
      </c>
      <c r="H368" s="7">
        <v>0</v>
      </c>
      <c r="I368" s="7">
        <v>25</v>
      </c>
      <c r="J368" s="13">
        <f t="shared" si="79"/>
        <v>50</v>
      </c>
      <c r="K368" s="5">
        <v>30</v>
      </c>
      <c r="L368" s="7">
        <v>10</v>
      </c>
      <c r="M368" s="13">
        <f t="shared" si="80"/>
        <v>40</v>
      </c>
      <c r="N368" s="6">
        <f t="shared" si="81"/>
        <v>94.5</v>
      </c>
      <c r="O368" s="5" t="str">
        <f t="shared" si="82"/>
        <v>Red</v>
      </c>
      <c r="P368" s="7" t="s">
        <v>610</v>
      </c>
      <c r="Q368" s="8" t="s">
        <v>510</v>
      </c>
    </row>
    <row r="369" spans="1:17" ht="28" x14ac:dyDescent="0.3">
      <c r="A369" s="3">
        <v>155</v>
      </c>
      <c r="B369" s="4" t="s">
        <v>63</v>
      </c>
      <c r="C369" s="2">
        <v>0</v>
      </c>
      <c r="D369" s="5">
        <v>0</v>
      </c>
      <c r="E369" s="5">
        <v>0</v>
      </c>
      <c r="F369" s="13">
        <f t="shared" si="78"/>
        <v>0</v>
      </c>
      <c r="G369" s="2">
        <v>0</v>
      </c>
      <c r="H369" s="5">
        <v>30</v>
      </c>
      <c r="I369" s="5">
        <v>0</v>
      </c>
      <c r="J369" s="13">
        <f t="shared" si="79"/>
        <v>30</v>
      </c>
      <c r="K369" s="7">
        <v>30</v>
      </c>
      <c r="L369" s="2">
        <v>20</v>
      </c>
      <c r="M369" s="13">
        <f t="shared" si="80"/>
        <v>50</v>
      </c>
      <c r="N369" s="6">
        <f t="shared" si="81"/>
        <v>57.5</v>
      </c>
      <c r="O369" s="5" t="str">
        <f t="shared" si="82"/>
        <v>Orange</v>
      </c>
      <c r="P369" s="7" t="s">
        <v>610</v>
      </c>
      <c r="Q369" s="8"/>
    </row>
    <row r="370" spans="1:17" ht="70" x14ac:dyDescent="0.3">
      <c r="A370" s="3">
        <v>156</v>
      </c>
      <c r="B370" s="4" t="s">
        <v>304</v>
      </c>
      <c r="C370" s="7">
        <v>30</v>
      </c>
      <c r="D370" s="7">
        <v>25</v>
      </c>
      <c r="E370" s="7">
        <v>30</v>
      </c>
      <c r="F370" s="13">
        <f t="shared" si="78"/>
        <v>85</v>
      </c>
      <c r="G370" s="5">
        <v>25</v>
      </c>
      <c r="H370" s="5">
        <v>20</v>
      </c>
      <c r="I370" s="5">
        <v>25</v>
      </c>
      <c r="J370" s="14">
        <f t="shared" si="79"/>
        <v>70</v>
      </c>
      <c r="K370" s="5">
        <v>0</v>
      </c>
      <c r="L370" s="5">
        <v>0</v>
      </c>
      <c r="M370" s="14">
        <f t="shared" si="80"/>
        <v>0</v>
      </c>
      <c r="N370" s="6">
        <f t="shared" si="81"/>
        <v>90.25</v>
      </c>
      <c r="O370" s="5" t="str">
        <f t="shared" si="82"/>
        <v>Red</v>
      </c>
      <c r="P370" s="7" t="s">
        <v>610</v>
      </c>
      <c r="Q370" s="8"/>
    </row>
    <row r="371" spans="1:17" ht="28" x14ac:dyDescent="0.3">
      <c r="A371" s="3">
        <v>157</v>
      </c>
      <c r="B371" s="4" t="s">
        <v>117</v>
      </c>
      <c r="C371" s="7">
        <v>10</v>
      </c>
      <c r="D371" s="7">
        <v>25</v>
      </c>
      <c r="E371" s="7">
        <v>20</v>
      </c>
      <c r="F371" s="13">
        <f t="shared" si="78"/>
        <v>55</v>
      </c>
      <c r="G371" s="7">
        <v>30</v>
      </c>
      <c r="H371" s="7">
        <v>0</v>
      </c>
      <c r="I371" s="7">
        <v>20</v>
      </c>
      <c r="J371" s="13">
        <f t="shared" si="79"/>
        <v>50</v>
      </c>
      <c r="K371" s="7">
        <v>25</v>
      </c>
      <c r="L371" s="7">
        <v>10</v>
      </c>
      <c r="M371" s="13">
        <f t="shared" si="80"/>
        <v>35</v>
      </c>
      <c r="N371" s="6">
        <f t="shared" si="81"/>
        <v>74.125</v>
      </c>
      <c r="O371" s="5" t="str">
        <f t="shared" si="82"/>
        <v>Orange</v>
      </c>
      <c r="P371" s="7" t="s">
        <v>610</v>
      </c>
      <c r="Q371" s="8"/>
    </row>
    <row r="372" spans="1:17" ht="28" x14ac:dyDescent="0.3">
      <c r="A372" s="3">
        <v>158</v>
      </c>
      <c r="B372" s="4" t="s">
        <v>161</v>
      </c>
      <c r="C372" s="7">
        <v>10</v>
      </c>
      <c r="D372" s="5">
        <v>20</v>
      </c>
      <c r="E372" s="5">
        <v>15</v>
      </c>
      <c r="F372" s="13">
        <f t="shared" si="78"/>
        <v>45</v>
      </c>
      <c r="G372" s="7">
        <v>25</v>
      </c>
      <c r="H372" s="5">
        <v>0</v>
      </c>
      <c r="I372" s="5">
        <v>25</v>
      </c>
      <c r="J372" s="13">
        <f t="shared" si="79"/>
        <v>50</v>
      </c>
      <c r="K372" s="7">
        <v>0</v>
      </c>
      <c r="L372" s="7">
        <v>0</v>
      </c>
      <c r="M372" s="13">
        <f t="shared" si="80"/>
        <v>0</v>
      </c>
      <c r="N372" s="6">
        <f t="shared" si="81"/>
        <v>61.25</v>
      </c>
      <c r="O372" s="5" t="str">
        <f t="shared" si="82"/>
        <v>Orange</v>
      </c>
      <c r="P372" s="7" t="s">
        <v>610</v>
      </c>
      <c r="Q372" s="8"/>
    </row>
    <row r="373" spans="1:17" ht="28" x14ac:dyDescent="0.3">
      <c r="A373" s="3">
        <v>159</v>
      </c>
      <c r="B373" s="4" t="s">
        <v>428</v>
      </c>
      <c r="C373" s="7">
        <v>20</v>
      </c>
      <c r="D373" s="5">
        <v>25</v>
      </c>
      <c r="E373" s="5">
        <v>25</v>
      </c>
      <c r="F373" s="13">
        <f t="shared" si="78"/>
        <v>70</v>
      </c>
      <c r="G373" s="7">
        <v>25</v>
      </c>
      <c r="H373" s="5">
        <v>0</v>
      </c>
      <c r="I373" s="5">
        <v>25</v>
      </c>
      <c r="J373" s="13">
        <f t="shared" si="79"/>
        <v>50</v>
      </c>
      <c r="K373" s="7">
        <v>0</v>
      </c>
      <c r="L373" s="7">
        <v>0</v>
      </c>
      <c r="M373" s="13">
        <f t="shared" si="80"/>
        <v>0</v>
      </c>
      <c r="N373" s="6">
        <f t="shared" si="81"/>
        <v>77.5</v>
      </c>
      <c r="O373" s="5" t="str">
        <f t="shared" si="82"/>
        <v>Orange</v>
      </c>
      <c r="P373" s="7" t="s">
        <v>610</v>
      </c>
      <c r="Q373" s="8"/>
    </row>
    <row r="374" spans="1:17" ht="28" x14ac:dyDescent="0.3">
      <c r="A374" s="3">
        <v>160</v>
      </c>
      <c r="B374" s="4" t="s">
        <v>309</v>
      </c>
      <c r="C374" s="5">
        <v>0</v>
      </c>
      <c r="D374" s="5">
        <v>0</v>
      </c>
      <c r="E374" s="5">
        <v>0</v>
      </c>
      <c r="F374" s="14">
        <f t="shared" si="78"/>
        <v>0</v>
      </c>
      <c r="G374" s="7">
        <v>25</v>
      </c>
      <c r="H374" s="5">
        <v>30</v>
      </c>
      <c r="I374" s="5">
        <v>0</v>
      </c>
      <c r="J374" s="13">
        <f t="shared" si="79"/>
        <v>55</v>
      </c>
      <c r="K374" s="7">
        <v>0</v>
      </c>
      <c r="L374" s="7">
        <v>0</v>
      </c>
      <c r="M374" s="13">
        <f t="shared" si="80"/>
        <v>0</v>
      </c>
      <c r="N374" s="6">
        <f t="shared" si="81"/>
        <v>55</v>
      </c>
      <c r="O374" s="5" t="str">
        <f t="shared" si="82"/>
        <v>Orange</v>
      </c>
      <c r="P374" s="7" t="s">
        <v>610</v>
      </c>
      <c r="Q374" s="8"/>
    </row>
    <row r="375" spans="1:17" ht="28" x14ac:dyDescent="0.3">
      <c r="A375" s="3">
        <v>161</v>
      </c>
      <c r="B375" s="4" t="s">
        <v>449</v>
      </c>
      <c r="C375" s="5">
        <v>10</v>
      </c>
      <c r="D375" s="5">
        <v>0</v>
      </c>
      <c r="E375" s="5">
        <v>25</v>
      </c>
      <c r="F375" s="14">
        <f t="shared" si="78"/>
        <v>35</v>
      </c>
      <c r="G375" s="7">
        <v>25</v>
      </c>
      <c r="H375" s="5">
        <v>30</v>
      </c>
      <c r="I375" s="5">
        <v>0</v>
      </c>
      <c r="J375" s="13">
        <f t="shared" si="79"/>
        <v>55</v>
      </c>
      <c r="K375" s="7">
        <v>0</v>
      </c>
      <c r="L375" s="7">
        <v>0</v>
      </c>
      <c r="M375" s="13">
        <f t="shared" si="80"/>
        <v>0</v>
      </c>
      <c r="N375" s="6">
        <f t="shared" si="81"/>
        <v>62.875</v>
      </c>
      <c r="O375" s="5" t="str">
        <f t="shared" si="82"/>
        <v>Orange</v>
      </c>
      <c r="P375" s="7" t="s">
        <v>610</v>
      </c>
      <c r="Q375" s="8"/>
    </row>
    <row r="376" spans="1:17" ht="28" x14ac:dyDescent="0.3">
      <c r="A376" s="3">
        <v>162</v>
      </c>
      <c r="B376" s="4" t="s">
        <v>380</v>
      </c>
      <c r="C376" s="7"/>
      <c r="D376" s="5"/>
      <c r="E376" s="5"/>
      <c r="F376" s="13"/>
      <c r="G376" s="7"/>
      <c r="H376" s="5"/>
      <c r="I376" s="5"/>
      <c r="J376" s="13"/>
      <c r="K376" s="7"/>
      <c r="L376" s="7"/>
      <c r="M376" s="13"/>
      <c r="N376" s="6"/>
      <c r="O376" s="5"/>
      <c r="P376" s="7" t="s">
        <v>610</v>
      </c>
      <c r="Q376" s="8"/>
    </row>
    <row r="377" spans="1:17" ht="28" x14ac:dyDescent="0.3">
      <c r="A377" s="3">
        <v>162.1</v>
      </c>
      <c r="B377" s="4" t="s">
        <v>380</v>
      </c>
      <c r="C377" s="7">
        <v>10</v>
      </c>
      <c r="D377" s="5">
        <v>25</v>
      </c>
      <c r="E377" s="5">
        <v>15</v>
      </c>
      <c r="F377" s="13">
        <f>C377+D377+E377</f>
        <v>50</v>
      </c>
      <c r="G377" s="7">
        <v>25</v>
      </c>
      <c r="H377" s="5">
        <v>0</v>
      </c>
      <c r="I377" s="5">
        <v>10</v>
      </c>
      <c r="J377" s="13">
        <f>G377+H377+I377</f>
        <v>35</v>
      </c>
      <c r="K377" s="7">
        <v>0</v>
      </c>
      <c r="L377" s="7">
        <v>0</v>
      </c>
      <c r="M377" s="13">
        <f>K377+L377</f>
        <v>0</v>
      </c>
      <c r="N377" s="6">
        <f>(MAX(F377,J377,M377))+((100-MAX(F377,J377,M377))*((MEDIAN(F377,J377,M377)+MIN(F377,J377,M377))/200))</f>
        <v>58.75</v>
      </c>
      <c r="O377" s="5" t="str">
        <f>IF(N377&gt;=80,"Red",IF(AND(N377&gt;=55,N377&lt;80),"Orange",IF(AND(N377&gt;=25,N377&lt;55),"Green",IF(N377&lt;25,"White"))))</f>
        <v>Orange</v>
      </c>
      <c r="P377" s="7" t="s">
        <v>610</v>
      </c>
      <c r="Q377" s="8"/>
    </row>
    <row r="378" spans="1:17" ht="42" x14ac:dyDescent="0.3">
      <c r="A378" s="5">
        <v>162.19999999999999</v>
      </c>
      <c r="B378" s="4" t="s">
        <v>381</v>
      </c>
      <c r="C378" s="5">
        <v>10</v>
      </c>
      <c r="D378" s="5">
        <v>25</v>
      </c>
      <c r="E378" s="5">
        <v>15</v>
      </c>
      <c r="F378" s="14">
        <f>C378+D378+E378</f>
        <v>50</v>
      </c>
      <c r="G378" s="5">
        <v>0</v>
      </c>
      <c r="H378" s="5">
        <v>0</v>
      </c>
      <c r="I378" s="5">
        <v>0</v>
      </c>
      <c r="J378" s="14">
        <f>G378+H378+I378</f>
        <v>0</v>
      </c>
      <c r="K378" s="5">
        <v>0</v>
      </c>
      <c r="L378" s="5">
        <v>0</v>
      </c>
      <c r="M378" s="14">
        <f>K378+L378</f>
        <v>0</v>
      </c>
      <c r="N378" s="6">
        <f>(MAX(F378,J378,M378))+((100-MAX(F378,J378,M378))*((MEDIAN(F378,J378,M378)+MIN(F378,J378,M378))/200))</f>
        <v>50</v>
      </c>
      <c r="O378" s="5" t="str">
        <f>IF(N378&gt;=80,"Red",IF(AND(N378&gt;=55,N378&lt;80),"Orange",IF(AND(N378&gt;=25,N378&lt;55),"Green",IF(N378&lt;25,"White"))))</f>
        <v>Green</v>
      </c>
      <c r="P378" s="7" t="s">
        <v>610</v>
      </c>
      <c r="Q378" s="8"/>
    </row>
    <row r="379" spans="1:17" ht="42" x14ac:dyDescent="0.3">
      <c r="A379" s="3">
        <v>162.30000000000001</v>
      </c>
      <c r="B379" s="4" t="s">
        <v>382</v>
      </c>
      <c r="C379" s="5">
        <v>0</v>
      </c>
      <c r="D379" s="5">
        <v>0</v>
      </c>
      <c r="E379" s="5">
        <v>0</v>
      </c>
      <c r="F379" s="14">
        <f>C379+D379+E379</f>
        <v>0</v>
      </c>
      <c r="G379" s="5">
        <v>0</v>
      </c>
      <c r="H379" s="5">
        <v>0</v>
      </c>
      <c r="I379" s="5">
        <v>0</v>
      </c>
      <c r="J379" s="14">
        <f>G379+H379+I379</f>
        <v>0</v>
      </c>
      <c r="K379" s="5">
        <v>0</v>
      </c>
      <c r="L379" s="5">
        <v>0</v>
      </c>
      <c r="M379" s="14">
        <f>K379+L379</f>
        <v>0</v>
      </c>
      <c r="N379" s="6">
        <f>(MAX(F379,J379,M379))+((100-MAX(F379,J379,M379))*((MEDIAN(F379,J379,M379)+MIN(F379,J379,M379))/200))</f>
        <v>0</v>
      </c>
      <c r="O379" s="5" t="str">
        <f>IF(N379&gt;=80,"Red",IF(AND(N379&gt;=55,N379&lt;80),"Orange",IF(AND(N379&gt;=25,N379&lt;55),"Green",IF(N379&lt;25,"White"))))</f>
        <v>White</v>
      </c>
      <c r="P379" s="7" t="s">
        <v>610</v>
      </c>
      <c r="Q379" s="8"/>
    </row>
    <row r="380" spans="1:17" ht="28" x14ac:dyDescent="0.3">
      <c r="A380" s="3">
        <v>163</v>
      </c>
      <c r="B380" s="4" t="s">
        <v>362</v>
      </c>
      <c r="C380" s="5"/>
      <c r="D380" s="5"/>
      <c r="E380" s="5"/>
      <c r="F380" s="14"/>
      <c r="G380" s="5"/>
      <c r="H380" s="5"/>
      <c r="I380" s="5"/>
      <c r="J380" s="14"/>
      <c r="K380" s="5"/>
      <c r="L380" s="5"/>
      <c r="M380" s="14"/>
      <c r="N380" s="6"/>
      <c r="O380" s="5"/>
      <c r="P380" s="7" t="s">
        <v>610</v>
      </c>
      <c r="Q380" s="8"/>
    </row>
    <row r="381" spans="1:17" ht="224" x14ac:dyDescent="0.3">
      <c r="A381" s="3">
        <v>163.1</v>
      </c>
      <c r="B381" s="4" t="s">
        <v>277</v>
      </c>
      <c r="C381" s="5">
        <v>25</v>
      </c>
      <c r="D381" s="5">
        <v>30</v>
      </c>
      <c r="E381" s="5">
        <v>35</v>
      </c>
      <c r="F381" s="14">
        <f t="shared" ref="F381:F388" si="83">C381+D381+E381</f>
        <v>90</v>
      </c>
      <c r="G381" s="5">
        <v>35</v>
      </c>
      <c r="H381" s="5">
        <v>30</v>
      </c>
      <c r="I381" s="5">
        <v>0</v>
      </c>
      <c r="J381" s="14">
        <f t="shared" ref="J381:J388" si="84">G381+H381+I381</f>
        <v>65</v>
      </c>
      <c r="K381" s="7">
        <v>25</v>
      </c>
      <c r="L381" s="5">
        <v>10</v>
      </c>
      <c r="M381" s="14">
        <f t="shared" ref="M381:M388" si="85">K381+L381</f>
        <v>35</v>
      </c>
      <c r="N381" s="6">
        <f t="shared" ref="N381:N388" si="86">(MAX(F381,J381,M381))+((100-MAX(F381,J381,M381))*((MEDIAN(F381,J381,M381)+MIN(F381,J381,M381))/200))</f>
        <v>95</v>
      </c>
      <c r="O381" s="5" t="str">
        <f t="shared" ref="O381:O388" si="87">IF(N381&gt;=80,"Red",IF(AND(N381&gt;=55,N381&lt;80),"Orange",IF(AND(N381&gt;=25,N381&lt;55),"Green",IF(N381&lt;25,"White"))))</f>
        <v>Red</v>
      </c>
      <c r="P381" s="7" t="s">
        <v>610</v>
      </c>
      <c r="Q381" s="8" t="s">
        <v>553</v>
      </c>
    </row>
    <row r="382" spans="1:17" ht="224" x14ac:dyDescent="0.3">
      <c r="A382" s="3">
        <v>163.19999999999999</v>
      </c>
      <c r="B382" s="4" t="s">
        <v>278</v>
      </c>
      <c r="C382" s="5">
        <v>25</v>
      </c>
      <c r="D382" s="5">
        <v>30</v>
      </c>
      <c r="E382" s="5">
        <v>35</v>
      </c>
      <c r="F382" s="14">
        <f t="shared" si="83"/>
        <v>90</v>
      </c>
      <c r="G382" s="5">
        <v>25</v>
      </c>
      <c r="H382" s="5">
        <v>30</v>
      </c>
      <c r="I382" s="5">
        <v>0</v>
      </c>
      <c r="J382" s="14">
        <f t="shared" si="84"/>
        <v>55</v>
      </c>
      <c r="K382" s="7">
        <v>25</v>
      </c>
      <c r="L382" s="5">
        <v>10</v>
      </c>
      <c r="M382" s="14">
        <f t="shared" si="85"/>
        <v>35</v>
      </c>
      <c r="N382" s="6">
        <f t="shared" si="86"/>
        <v>94.5</v>
      </c>
      <c r="O382" s="5" t="str">
        <f t="shared" si="87"/>
        <v>Red</v>
      </c>
      <c r="P382" s="7" t="s">
        <v>610</v>
      </c>
      <c r="Q382" s="8" t="s">
        <v>553</v>
      </c>
    </row>
    <row r="383" spans="1:17" ht="224" x14ac:dyDescent="0.3">
      <c r="A383" s="3">
        <v>163.30000000000001</v>
      </c>
      <c r="B383" s="4" t="s">
        <v>363</v>
      </c>
      <c r="C383" s="5">
        <v>25</v>
      </c>
      <c r="D383" s="5">
        <v>30</v>
      </c>
      <c r="E383" s="5">
        <v>35</v>
      </c>
      <c r="F383" s="14">
        <f t="shared" si="83"/>
        <v>90</v>
      </c>
      <c r="G383" s="5">
        <v>25</v>
      </c>
      <c r="H383" s="5">
        <v>30</v>
      </c>
      <c r="I383" s="5">
        <v>0</v>
      </c>
      <c r="J383" s="14">
        <f t="shared" si="84"/>
        <v>55</v>
      </c>
      <c r="K383" s="7">
        <v>25</v>
      </c>
      <c r="L383" s="5">
        <v>10</v>
      </c>
      <c r="M383" s="14">
        <f t="shared" si="85"/>
        <v>35</v>
      </c>
      <c r="N383" s="6">
        <f t="shared" si="86"/>
        <v>94.5</v>
      </c>
      <c r="O383" s="5" t="str">
        <f t="shared" si="87"/>
        <v>Red</v>
      </c>
      <c r="P383" s="7" t="s">
        <v>610</v>
      </c>
      <c r="Q383" s="8" t="s">
        <v>553</v>
      </c>
    </row>
    <row r="384" spans="1:17" ht="224" x14ac:dyDescent="0.3">
      <c r="A384" s="3">
        <v>163.4</v>
      </c>
      <c r="B384" s="4" t="s">
        <v>364</v>
      </c>
      <c r="C384" s="5">
        <v>0</v>
      </c>
      <c r="D384" s="5">
        <v>0</v>
      </c>
      <c r="E384" s="5">
        <v>0</v>
      </c>
      <c r="F384" s="14">
        <f t="shared" si="83"/>
        <v>0</v>
      </c>
      <c r="G384" s="5">
        <v>0</v>
      </c>
      <c r="H384" s="5">
        <v>25</v>
      </c>
      <c r="I384" s="5">
        <v>0</v>
      </c>
      <c r="J384" s="14">
        <f t="shared" si="84"/>
        <v>25</v>
      </c>
      <c r="K384" s="7">
        <v>25</v>
      </c>
      <c r="L384" s="5">
        <v>10</v>
      </c>
      <c r="M384" s="14">
        <f t="shared" si="85"/>
        <v>35</v>
      </c>
      <c r="N384" s="6">
        <f t="shared" si="86"/>
        <v>43.125</v>
      </c>
      <c r="O384" s="5" t="str">
        <f t="shared" si="87"/>
        <v>Green</v>
      </c>
      <c r="P384" s="7" t="s">
        <v>610</v>
      </c>
      <c r="Q384" s="8" t="s">
        <v>553</v>
      </c>
    </row>
    <row r="385" spans="1:17" ht="28" x14ac:dyDescent="0.3">
      <c r="A385" s="3">
        <v>164</v>
      </c>
      <c r="B385" s="4" t="s">
        <v>228</v>
      </c>
      <c r="C385" s="5">
        <v>0</v>
      </c>
      <c r="D385" s="5">
        <v>0</v>
      </c>
      <c r="E385" s="5">
        <v>0</v>
      </c>
      <c r="F385" s="14">
        <f t="shared" si="83"/>
        <v>0</v>
      </c>
      <c r="G385" s="7">
        <v>0</v>
      </c>
      <c r="H385" s="5">
        <v>30</v>
      </c>
      <c r="I385" s="5">
        <v>0</v>
      </c>
      <c r="J385" s="13">
        <f t="shared" si="84"/>
        <v>30</v>
      </c>
      <c r="K385" s="7">
        <v>0</v>
      </c>
      <c r="L385" s="7">
        <v>0</v>
      </c>
      <c r="M385" s="13">
        <f t="shared" si="85"/>
        <v>0</v>
      </c>
      <c r="N385" s="6">
        <f t="shared" si="86"/>
        <v>30</v>
      </c>
      <c r="O385" s="5" t="str">
        <f t="shared" si="87"/>
        <v>Green</v>
      </c>
      <c r="P385" s="7" t="s">
        <v>610</v>
      </c>
      <c r="Q385" s="8"/>
    </row>
    <row r="386" spans="1:17" ht="28" x14ac:dyDescent="0.3">
      <c r="A386" s="3">
        <v>165</v>
      </c>
      <c r="B386" s="4" t="s">
        <v>229</v>
      </c>
      <c r="C386" s="5">
        <v>0</v>
      </c>
      <c r="D386" s="5">
        <v>0</v>
      </c>
      <c r="E386" s="5">
        <v>0</v>
      </c>
      <c r="F386" s="14">
        <f t="shared" si="83"/>
        <v>0</v>
      </c>
      <c r="G386" s="7">
        <v>0</v>
      </c>
      <c r="H386" s="5">
        <v>30</v>
      </c>
      <c r="I386" s="5">
        <v>0</v>
      </c>
      <c r="J386" s="13">
        <f t="shared" si="84"/>
        <v>30</v>
      </c>
      <c r="K386" s="7">
        <v>0</v>
      </c>
      <c r="L386" s="7">
        <v>0</v>
      </c>
      <c r="M386" s="13">
        <f t="shared" si="85"/>
        <v>0</v>
      </c>
      <c r="N386" s="6">
        <f t="shared" si="86"/>
        <v>30</v>
      </c>
      <c r="O386" s="5" t="str">
        <f t="shared" si="87"/>
        <v>Green</v>
      </c>
      <c r="P386" s="7" t="s">
        <v>610</v>
      </c>
      <c r="Q386" s="8"/>
    </row>
    <row r="387" spans="1:17" ht="28" x14ac:dyDescent="0.3">
      <c r="A387" s="4">
        <v>166</v>
      </c>
      <c r="B387" s="4" t="s">
        <v>487</v>
      </c>
      <c r="C387" s="7">
        <v>10</v>
      </c>
      <c r="D387" s="5">
        <v>0</v>
      </c>
      <c r="E387" s="5">
        <v>20</v>
      </c>
      <c r="F387" s="13">
        <f t="shared" si="83"/>
        <v>30</v>
      </c>
      <c r="G387" s="5">
        <v>0</v>
      </c>
      <c r="H387" s="5">
        <v>30</v>
      </c>
      <c r="I387" s="5">
        <v>0</v>
      </c>
      <c r="J387" s="14">
        <f t="shared" si="84"/>
        <v>30</v>
      </c>
      <c r="K387" s="5">
        <v>0</v>
      </c>
      <c r="L387" s="5">
        <v>0</v>
      </c>
      <c r="M387" s="14">
        <f t="shared" si="85"/>
        <v>0</v>
      </c>
      <c r="N387" s="6">
        <f t="shared" si="86"/>
        <v>40.5</v>
      </c>
      <c r="O387" s="5" t="str">
        <f t="shared" si="87"/>
        <v>Green</v>
      </c>
      <c r="P387" s="7" t="s">
        <v>610</v>
      </c>
      <c r="Q387" s="8"/>
    </row>
    <row r="388" spans="1:17" ht="28" x14ac:dyDescent="0.3">
      <c r="A388" s="3">
        <v>167</v>
      </c>
      <c r="B388" s="4" t="s">
        <v>460</v>
      </c>
      <c r="C388" s="5">
        <v>0</v>
      </c>
      <c r="D388" s="5">
        <v>0</v>
      </c>
      <c r="E388" s="5">
        <v>0</v>
      </c>
      <c r="F388" s="14">
        <f t="shared" si="83"/>
        <v>0</v>
      </c>
      <c r="G388" s="5">
        <v>0</v>
      </c>
      <c r="H388" s="5">
        <v>0</v>
      </c>
      <c r="I388" s="5">
        <v>0</v>
      </c>
      <c r="J388" s="14">
        <f t="shared" si="84"/>
        <v>0</v>
      </c>
      <c r="K388" s="5">
        <v>0</v>
      </c>
      <c r="L388" s="5">
        <v>0</v>
      </c>
      <c r="M388" s="14">
        <f t="shared" si="85"/>
        <v>0</v>
      </c>
      <c r="N388" s="6">
        <f t="shared" si="86"/>
        <v>0</v>
      </c>
      <c r="O388" s="5" t="str">
        <f t="shared" si="87"/>
        <v>White</v>
      </c>
      <c r="P388" s="7" t="s">
        <v>610</v>
      </c>
      <c r="Q388" s="8"/>
    </row>
    <row r="389" spans="1:17" ht="28" x14ac:dyDescent="0.3">
      <c r="A389" s="3">
        <v>168</v>
      </c>
      <c r="B389" s="4" t="s">
        <v>66</v>
      </c>
      <c r="C389" s="7"/>
      <c r="D389" s="5"/>
      <c r="E389" s="5"/>
      <c r="F389" s="14"/>
      <c r="G389" s="5"/>
      <c r="H389" s="5"/>
      <c r="I389" s="5"/>
      <c r="J389" s="14"/>
      <c r="K389" s="5"/>
      <c r="L389" s="5"/>
      <c r="M389" s="14"/>
      <c r="N389" s="6"/>
      <c r="O389" s="5"/>
      <c r="P389" s="7" t="s">
        <v>610</v>
      </c>
      <c r="Q389" s="8"/>
    </row>
    <row r="390" spans="1:17" ht="28" x14ac:dyDescent="0.3">
      <c r="A390" s="3">
        <v>168.1</v>
      </c>
      <c r="B390" s="4" t="s">
        <v>67</v>
      </c>
      <c r="C390" s="7">
        <v>35</v>
      </c>
      <c r="D390" s="5">
        <v>30</v>
      </c>
      <c r="E390" s="5">
        <v>25</v>
      </c>
      <c r="F390" s="13">
        <f>C390+D390+E390</f>
        <v>90</v>
      </c>
      <c r="G390" s="5">
        <v>0</v>
      </c>
      <c r="H390" s="5">
        <v>20</v>
      </c>
      <c r="I390" s="5">
        <v>0</v>
      </c>
      <c r="J390" s="14">
        <f>G390+H390+I390</f>
        <v>20</v>
      </c>
      <c r="K390" s="7">
        <v>25</v>
      </c>
      <c r="L390" s="5">
        <v>30</v>
      </c>
      <c r="M390" s="14">
        <f>K390+L390</f>
        <v>55</v>
      </c>
      <c r="N390" s="6">
        <f>(MAX(F390,J390,M390))+((100-MAX(F390,J390,M390))*((MEDIAN(F390,J390,M390)+MIN(F390,J390,M390))/200))</f>
        <v>93.75</v>
      </c>
      <c r="O390" s="5" t="str">
        <f>IF(N390&gt;=80,"Red",IF(AND(N390&gt;=55,N390&lt;80),"Orange",IF(AND(N390&gt;=25,N390&lt;55),"Green",IF(N390&lt;25,"White"))))</f>
        <v>Red</v>
      </c>
      <c r="P390" s="7" t="s">
        <v>610</v>
      </c>
      <c r="Q390" s="8"/>
    </row>
    <row r="391" spans="1:17" ht="28" x14ac:dyDescent="0.3">
      <c r="A391" s="3">
        <v>168.2</v>
      </c>
      <c r="B391" s="4" t="s">
        <v>68</v>
      </c>
      <c r="C391" s="7">
        <v>35</v>
      </c>
      <c r="D391" s="5">
        <v>30</v>
      </c>
      <c r="E391" s="5">
        <v>25</v>
      </c>
      <c r="F391" s="13">
        <f>C391+D391+E391</f>
        <v>90</v>
      </c>
      <c r="G391" s="5">
        <v>0</v>
      </c>
      <c r="H391" s="5">
        <v>20</v>
      </c>
      <c r="I391" s="5">
        <v>0</v>
      </c>
      <c r="J391" s="14">
        <f>G391+H391+I391</f>
        <v>20</v>
      </c>
      <c r="K391" s="7">
        <v>25</v>
      </c>
      <c r="L391" s="5">
        <v>30</v>
      </c>
      <c r="M391" s="14">
        <f>K391+L391</f>
        <v>55</v>
      </c>
      <c r="N391" s="6">
        <f>(MAX(F391,J391,M391))+((100-MAX(F391,J391,M391))*((MEDIAN(F391,J391,M391)+MIN(F391,J391,M391))/200))</f>
        <v>93.75</v>
      </c>
      <c r="O391" s="5" t="str">
        <f>IF(N391&gt;=80,"Red",IF(AND(N391&gt;=55,N391&lt;80),"Orange",IF(AND(N391&gt;=25,N391&lt;55),"Green",IF(N391&lt;25,"White"))))</f>
        <v>Red</v>
      </c>
      <c r="P391" s="7" t="s">
        <v>610</v>
      </c>
      <c r="Q391" s="8"/>
    </row>
    <row r="392" spans="1:17" ht="28" x14ac:dyDescent="0.3">
      <c r="A392" s="3">
        <v>168.3</v>
      </c>
      <c r="B392" s="4" t="s">
        <v>69</v>
      </c>
      <c r="C392" s="7">
        <v>35</v>
      </c>
      <c r="D392" s="5">
        <v>30</v>
      </c>
      <c r="E392" s="5">
        <v>20</v>
      </c>
      <c r="F392" s="13">
        <f>C392+D392+E392</f>
        <v>85</v>
      </c>
      <c r="G392" s="5">
        <v>0</v>
      </c>
      <c r="H392" s="5">
        <v>20</v>
      </c>
      <c r="I392" s="5">
        <v>0</v>
      </c>
      <c r="J392" s="14">
        <f>G392+H392+I392</f>
        <v>20</v>
      </c>
      <c r="K392" s="7">
        <v>25</v>
      </c>
      <c r="L392" s="5">
        <v>30</v>
      </c>
      <c r="M392" s="14">
        <f>K392+L392</f>
        <v>55</v>
      </c>
      <c r="N392" s="6">
        <f>(MAX(F392,J392,M392))+((100-MAX(F392,J392,M392))*((MEDIAN(F392,J392,M392)+MIN(F392,J392,M392))/200))</f>
        <v>90.625</v>
      </c>
      <c r="O392" s="5" t="str">
        <f>IF(N392&gt;=80,"Red",IF(AND(N392&gt;=55,N392&lt;80),"Orange",IF(AND(N392&gt;=25,N392&lt;55),"Green",IF(N392&lt;25,"White"))))</f>
        <v>Red</v>
      </c>
      <c r="P392" s="7" t="s">
        <v>610</v>
      </c>
      <c r="Q392" s="8"/>
    </row>
    <row r="393" spans="1:17" ht="28" x14ac:dyDescent="0.3">
      <c r="A393" s="3">
        <v>168.4</v>
      </c>
      <c r="B393" s="4" t="s">
        <v>70</v>
      </c>
      <c r="C393" s="7">
        <v>20</v>
      </c>
      <c r="D393" s="5">
        <v>25</v>
      </c>
      <c r="E393" s="5">
        <v>25</v>
      </c>
      <c r="F393" s="13">
        <f>C393+D393+E393</f>
        <v>70</v>
      </c>
      <c r="G393" s="5">
        <v>0</v>
      </c>
      <c r="H393" s="5">
        <v>20</v>
      </c>
      <c r="I393" s="5">
        <v>0</v>
      </c>
      <c r="J393" s="14">
        <f>G393+H393+I393</f>
        <v>20</v>
      </c>
      <c r="K393" s="5">
        <v>20</v>
      </c>
      <c r="L393" s="5">
        <v>10</v>
      </c>
      <c r="M393" s="14">
        <f>K393+L393</f>
        <v>30</v>
      </c>
      <c r="N393" s="6">
        <f>(MAX(F393,J393,M393))+((100-MAX(F393,J393,M393))*((MEDIAN(F393,J393,M393)+MIN(F393,J393,M393))/200))</f>
        <v>77.5</v>
      </c>
      <c r="O393" s="5" t="str">
        <f>IF(N393&gt;=80,"Red",IF(AND(N393&gt;=55,N393&lt;80),"Orange",IF(AND(N393&gt;=25,N393&lt;55),"Green",IF(N393&lt;25,"White"))))</f>
        <v>Orange</v>
      </c>
      <c r="P393" s="7" t="s">
        <v>610</v>
      </c>
      <c r="Q393" s="8"/>
    </row>
    <row r="394" spans="1:17" ht="42" x14ac:dyDescent="0.3">
      <c r="A394" s="3">
        <v>169</v>
      </c>
      <c r="B394" s="4" t="s">
        <v>118</v>
      </c>
      <c r="C394" s="7"/>
      <c r="D394" s="5"/>
      <c r="E394" s="5"/>
      <c r="F394" s="14"/>
      <c r="G394" s="7"/>
      <c r="H394" s="5"/>
      <c r="I394" s="5"/>
      <c r="J394" s="14"/>
      <c r="K394" s="7"/>
      <c r="L394" s="7"/>
      <c r="M394" s="14"/>
      <c r="N394" s="6"/>
      <c r="O394" s="5"/>
      <c r="P394" s="7" t="s">
        <v>610</v>
      </c>
      <c r="Q394" s="8"/>
    </row>
    <row r="395" spans="1:17" ht="28" x14ac:dyDescent="0.3">
      <c r="A395" s="3">
        <v>169.1</v>
      </c>
      <c r="B395" s="4" t="s">
        <v>119</v>
      </c>
      <c r="C395" s="7">
        <v>20</v>
      </c>
      <c r="D395" s="5">
        <v>25</v>
      </c>
      <c r="E395" s="5">
        <v>20</v>
      </c>
      <c r="F395" s="13">
        <f>C395+D395+E395</f>
        <v>65</v>
      </c>
      <c r="G395" s="7">
        <v>25</v>
      </c>
      <c r="H395" s="5">
        <v>0</v>
      </c>
      <c r="I395" s="5">
        <v>25</v>
      </c>
      <c r="J395" s="13">
        <f>G395+H395+I395</f>
        <v>50</v>
      </c>
      <c r="K395" s="7">
        <v>0</v>
      </c>
      <c r="L395" s="7">
        <v>0</v>
      </c>
      <c r="M395" s="13">
        <f>K395+L395</f>
        <v>0</v>
      </c>
      <c r="N395" s="6">
        <f>(MAX(F395,J395,M395))+((100-MAX(F395,J395,M395))*((MEDIAN(F395,J395,M395)+MIN(F395,J395,M395))/200))</f>
        <v>73.75</v>
      </c>
      <c r="O395" s="5" t="str">
        <f>IF(N395&gt;=80,"Red",IF(AND(N395&gt;=55,N395&lt;80),"Orange",IF(AND(N395&gt;=25,N395&lt;55),"Green",IF(N395&lt;25,"White"))))</f>
        <v>Orange</v>
      </c>
      <c r="P395" s="7" t="s">
        <v>610</v>
      </c>
      <c r="Q395" s="8"/>
    </row>
    <row r="396" spans="1:17" ht="28" x14ac:dyDescent="0.3">
      <c r="A396" s="3">
        <v>169.2</v>
      </c>
      <c r="B396" s="4" t="s">
        <v>120</v>
      </c>
      <c r="C396" s="7">
        <v>0</v>
      </c>
      <c r="D396" s="5">
        <v>0</v>
      </c>
      <c r="E396" s="5">
        <v>0</v>
      </c>
      <c r="F396" s="13">
        <f>C396+D396+E396</f>
        <v>0</v>
      </c>
      <c r="G396" s="7">
        <v>0</v>
      </c>
      <c r="H396" s="5">
        <v>25</v>
      </c>
      <c r="I396" s="5">
        <v>0</v>
      </c>
      <c r="J396" s="13">
        <f>G396+H396+I396</f>
        <v>25</v>
      </c>
      <c r="K396" s="7">
        <v>0</v>
      </c>
      <c r="L396" s="7">
        <v>0</v>
      </c>
      <c r="M396" s="13">
        <f>K396+L396</f>
        <v>0</v>
      </c>
      <c r="N396" s="6">
        <f>(MAX(F396,J396,M396))+((100-MAX(F396,J396,M396))*((MEDIAN(F396,J396,M396)+MIN(F396,J396,M396))/200))</f>
        <v>25</v>
      </c>
      <c r="O396" s="5" t="str">
        <f>IF(N396&gt;=80,"Red",IF(AND(N396&gt;=55,N396&lt;80),"Orange",IF(AND(N396&gt;=25,N396&lt;55),"Green",IF(N396&lt;25,"White"))))</f>
        <v>Green</v>
      </c>
      <c r="P396" s="7" t="s">
        <v>610</v>
      </c>
      <c r="Q396" s="8"/>
    </row>
    <row r="397" spans="1:17" ht="28" x14ac:dyDescent="0.3">
      <c r="A397" s="3">
        <v>170</v>
      </c>
      <c r="B397" s="4" t="s">
        <v>126</v>
      </c>
      <c r="C397" s="7"/>
      <c r="D397" s="5"/>
      <c r="E397" s="5"/>
      <c r="F397" s="14"/>
      <c r="G397" s="7"/>
      <c r="H397" s="5"/>
      <c r="I397" s="5"/>
      <c r="J397" s="14"/>
      <c r="K397" s="7"/>
      <c r="L397" s="7"/>
      <c r="M397" s="14"/>
      <c r="N397" s="6"/>
      <c r="O397" s="5"/>
      <c r="P397" s="7" t="s">
        <v>610</v>
      </c>
      <c r="Q397" s="8"/>
    </row>
    <row r="398" spans="1:17" ht="28" x14ac:dyDescent="0.3">
      <c r="A398" s="3">
        <v>170.1</v>
      </c>
      <c r="B398" s="4" t="s">
        <v>127</v>
      </c>
      <c r="C398" s="7">
        <v>10</v>
      </c>
      <c r="D398" s="5">
        <v>30</v>
      </c>
      <c r="E398" s="5">
        <v>15</v>
      </c>
      <c r="F398" s="13">
        <f>C398+D398+E398</f>
        <v>55</v>
      </c>
      <c r="G398" s="7">
        <v>25</v>
      </c>
      <c r="H398" s="5">
        <v>0</v>
      </c>
      <c r="I398" s="5">
        <v>10</v>
      </c>
      <c r="J398" s="13">
        <f>G398+H398+I398</f>
        <v>35</v>
      </c>
      <c r="K398" s="7">
        <v>25</v>
      </c>
      <c r="L398" s="7">
        <v>10</v>
      </c>
      <c r="M398" s="13">
        <f>K398+L398</f>
        <v>35</v>
      </c>
      <c r="N398" s="6">
        <f>(MAX(F398,J398,M398))+((100-MAX(F398,J398,M398))*((MEDIAN(F398,J398,M398)+MIN(F398,J398,M398))/200))</f>
        <v>70.75</v>
      </c>
      <c r="O398" s="5" t="str">
        <f>IF(N398&gt;=80,"Red",IF(AND(N398&gt;=55,N398&lt;80),"Orange",IF(AND(N398&gt;=25,N398&lt;55),"Green",IF(N398&lt;25,"White"))))</f>
        <v>Orange</v>
      </c>
      <c r="P398" s="7" t="s">
        <v>610</v>
      </c>
      <c r="Q398" s="8"/>
    </row>
    <row r="399" spans="1:17" ht="28" x14ac:dyDescent="0.3">
      <c r="A399" s="3">
        <v>170.2</v>
      </c>
      <c r="B399" s="4" t="s">
        <v>128</v>
      </c>
      <c r="C399" s="7">
        <v>0</v>
      </c>
      <c r="D399" s="5">
        <v>0</v>
      </c>
      <c r="E399" s="5">
        <v>0</v>
      </c>
      <c r="F399" s="13">
        <f>C399+D399+E399</f>
        <v>0</v>
      </c>
      <c r="G399" s="7">
        <v>0</v>
      </c>
      <c r="H399" s="5">
        <v>0</v>
      </c>
      <c r="I399" s="5">
        <v>0</v>
      </c>
      <c r="J399" s="13">
        <f>G399+H399+I399</f>
        <v>0</v>
      </c>
      <c r="K399" s="7">
        <v>0</v>
      </c>
      <c r="L399" s="7">
        <v>0</v>
      </c>
      <c r="M399" s="13">
        <f>K399+L399</f>
        <v>0</v>
      </c>
      <c r="N399" s="6">
        <f>(MAX(F399,J399,M399))+((100-MAX(F399,J399,M399))*((MEDIAN(F399,J399,M399)+MIN(F399,J399,M399))/200))</f>
        <v>0</v>
      </c>
      <c r="O399" s="5" t="str">
        <f>IF(N399&gt;=80,"Red",IF(AND(N399&gt;=55,N399&lt;80),"Orange",IF(AND(N399&gt;=25,N399&lt;55),"Green",IF(N399&lt;25,"White"))))</f>
        <v>White</v>
      </c>
      <c r="P399" s="7" t="s">
        <v>610</v>
      </c>
      <c r="Q399" s="8"/>
    </row>
    <row r="400" spans="1:17" ht="28" x14ac:dyDescent="0.3">
      <c r="A400" s="3">
        <v>171</v>
      </c>
      <c r="B400" s="4" t="s">
        <v>423</v>
      </c>
      <c r="C400" s="7">
        <v>10</v>
      </c>
      <c r="D400" s="7">
        <v>0</v>
      </c>
      <c r="E400" s="7">
        <v>15</v>
      </c>
      <c r="F400" s="13">
        <f>C400+D400+E400</f>
        <v>25</v>
      </c>
      <c r="G400" s="7">
        <v>25</v>
      </c>
      <c r="H400" s="7">
        <v>25</v>
      </c>
      <c r="I400" s="7">
        <v>25</v>
      </c>
      <c r="J400" s="13">
        <f>G400+H400+I400</f>
        <v>75</v>
      </c>
      <c r="K400" s="7">
        <v>0</v>
      </c>
      <c r="L400" s="7">
        <v>0</v>
      </c>
      <c r="M400" s="13">
        <f>K400+L400</f>
        <v>0</v>
      </c>
      <c r="N400" s="6">
        <f>(MAX(F400,J400,M400))+((100-MAX(F400,J400,M400))*((MEDIAN(F400,J400,M400)+MIN(F400,J400,M400))/200))</f>
        <v>78.125</v>
      </c>
      <c r="O400" s="5" t="str">
        <f>IF(N400&gt;=80,"Red",IF(AND(N400&gt;=55,N400&lt;80),"Orange",IF(AND(N400&gt;=25,N400&lt;55),"Green",IF(N400&lt;25,"White"))))</f>
        <v>Orange</v>
      </c>
      <c r="P400" s="7" t="s">
        <v>610</v>
      </c>
      <c r="Q400" s="8"/>
    </row>
    <row r="401" spans="1:17" ht="28" x14ac:dyDescent="0.3">
      <c r="A401" s="3">
        <v>172</v>
      </c>
      <c r="B401" s="4" t="s">
        <v>175</v>
      </c>
      <c r="C401" s="5">
        <v>0</v>
      </c>
      <c r="D401" s="5">
        <v>20</v>
      </c>
      <c r="E401" s="5">
        <v>15</v>
      </c>
      <c r="F401" s="14">
        <f>C401+D401+E401</f>
        <v>35</v>
      </c>
      <c r="G401" s="7">
        <v>25</v>
      </c>
      <c r="H401" s="5">
        <v>0</v>
      </c>
      <c r="I401" s="5">
        <v>25</v>
      </c>
      <c r="J401" s="13">
        <f>G401+H401+I401</f>
        <v>50</v>
      </c>
      <c r="K401" s="7">
        <v>0</v>
      </c>
      <c r="L401" s="7">
        <v>0</v>
      </c>
      <c r="M401" s="13">
        <f>K401+L401</f>
        <v>0</v>
      </c>
      <c r="N401" s="6">
        <f>(MAX(F401,J401,M401))+((100-MAX(F401,J401,M401))*((MEDIAN(F401,J401,M401)+MIN(F401,J401,M401))/200))</f>
        <v>58.75</v>
      </c>
      <c r="O401" s="5" t="str">
        <f>IF(N401&gt;=80,"Red",IF(AND(N401&gt;=55,N401&lt;80),"Orange",IF(AND(N401&gt;=25,N401&lt;55),"Green",IF(N401&lt;25,"White"))))</f>
        <v>Orange</v>
      </c>
      <c r="P401" s="7" t="s">
        <v>610</v>
      </c>
      <c r="Q401" s="4"/>
    </row>
    <row r="402" spans="1:17" ht="42" x14ac:dyDescent="0.3">
      <c r="A402" s="3">
        <v>173</v>
      </c>
      <c r="B402" s="4" t="s">
        <v>383</v>
      </c>
      <c r="C402" s="7"/>
      <c r="D402" s="5"/>
      <c r="E402" s="5"/>
      <c r="F402" s="13"/>
      <c r="G402" s="7"/>
      <c r="H402" s="5"/>
      <c r="I402" s="5"/>
      <c r="J402" s="13"/>
      <c r="K402" s="7"/>
      <c r="L402" s="7"/>
      <c r="M402" s="13"/>
      <c r="N402" s="6"/>
      <c r="O402" s="5"/>
      <c r="P402" s="7" t="s">
        <v>610</v>
      </c>
      <c r="Q402" s="8"/>
    </row>
    <row r="403" spans="1:17" ht="42" x14ac:dyDescent="0.3">
      <c r="A403" s="3">
        <v>173.1</v>
      </c>
      <c r="B403" s="4" t="s">
        <v>384</v>
      </c>
      <c r="C403" s="7">
        <v>20</v>
      </c>
      <c r="D403" s="5">
        <v>0</v>
      </c>
      <c r="E403" s="5">
        <v>15</v>
      </c>
      <c r="F403" s="13">
        <f>C403+D403+E403</f>
        <v>35</v>
      </c>
      <c r="G403" s="7">
        <v>25</v>
      </c>
      <c r="H403" s="5">
        <v>20</v>
      </c>
      <c r="I403" s="5">
        <v>25</v>
      </c>
      <c r="J403" s="13">
        <f>G403+H403+I403</f>
        <v>70</v>
      </c>
      <c r="K403" s="7">
        <v>0</v>
      </c>
      <c r="L403" s="7">
        <v>0</v>
      </c>
      <c r="M403" s="13">
        <f>K403+L403</f>
        <v>0</v>
      </c>
      <c r="N403" s="6">
        <f>(MAX(F403,J403,M403))+((100-MAX(F403,J403,M403))*((MEDIAN(F403,J403,M403)+MIN(F403,J403,M403))/200))</f>
        <v>75.25</v>
      </c>
      <c r="O403" s="5" t="str">
        <f>IF(N403&gt;=80,"Red",IF(AND(N403&gt;=55,N403&lt;80),"Orange",IF(AND(N403&gt;=25,N403&lt;55),"Green",IF(N403&lt;25,"White"))))</f>
        <v>Orange</v>
      </c>
      <c r="P403" s="7" t="s">
        <v>610</v>
      </c>
      <c r="Q403" s="8"/>
    </row>
    <row r="404" spans="1:17" ht="42" x14ac:dyDescent="0.3">
      <c r="A404" s="3">
        <v>173.2</v>
      </c>
      <c r="B404" s="4" t="s">
        <v>385</v>
      </c>
      <c r="C404" s="7">
        <v>20</v>
      </c>
      <c r="D404" s="5">
        <v>0</v>
      </c>
      <c r="E404" s="5">
        <v>15</v>
      </c>
      <c r="F404" s="13">
        <f>C404+D404+E404</f>
        <v>35</v>
      </c>
      <c r="G404" s="7">
        <v>0</v>
      </c>
      <c r="H404" s="5">
        <v>20</v>
      </c>
      <c r="I404" s="5">
        <v>0</v>
      </c>
      <c r="J404" s="13">
        <f>G404+H404+I404</f>
        <v>20</v>
      </c>
      <c r="K404" s="7">
        <v>0</v>
      </c>
      <c r="L404" s="7">
        <v>0</v>
      </c>
      <c r="M404" s="13">
        <f>K404+L404</f>
        <v>0</v>
      </c>
      <c r="N404" s="6">
        <f>(MAX(F404,J404,M404))+((100-MAX(F404,J404,M404))*((MEDIAN(F404,J404,M404)+MIN(F404,J404,M404))/200))</f>
        <v>41.5</v>
      </c>
      <c r="O404" s="5" t="str">
        <f>IF(N404&gt;=80,"Red",IF(AND(N404&gt;=55,N404&lt;80),"Orange",IF(AND(N404&gt;=25,N404&lt;55),"Green",IF(N404&lt;25,"White"))))</f>
        <v>Green</v>
      </c>
      <c r="P404" s="7" t="s">
        <v>610</v>
      </c>
      <c r="Q404" s="8"/>
    </row>
    <row r="405" spans="1:17" ht="28" x14ac:dyDescent="0.3">
      <c r="A405" s="3">
        <v>174</v>
      </c>
      <c r="B405" s="4" t="s">
        <v>176</v>
      </c>
      <c r="C405" s="5">
        <v>0</v>
      </c>
      <c r="D405" s="5">
        <v>0</v>
      </c>
      <c r="E405" s="5">
        <v>0</v>
      </c>
      <c r="F405" s="14">
        <f>C405+D405+E405</f>
        <v>0</v>
      </c>
      <c r="G405" s="7">
        <v>0</v>
      </c>
      <c r="H405" s="5">
        <v>25</v>
      </c>
      <c r="I405" s="5">
        <v>0</v>
      </c>
      <c r="J405" s="13">
        <f>G405+H405+I405</f>
        <v>25</v>
      </c>
      <c r="K405" s="5">
        <v>30</v>
      </c>
      <c r="L405" s="7">
        <v>10</v>
      </c>
      <c r="M405" s="13">
        <f>K405+L405</f>
        <v>40</v>
      </c>
      <c r="N405" s="6">
        <f>(MAX(F405,J405,M405))+((100-MAX(F405,J405,M405))*((MEDIAN(F405,J405,M405)+MIN(F405,J405,M405))/200))</f>
        <v>47.5</v>
      </c>
      <c r="O405" s="5" t="str">
        <f>IF(N405&gt;=80,"Red",IF(AND(N405&gt;=55,N405&lt;80),"Orange",IF(AND(N405&gt;=25,N405&lt;55),"Green",IF(N405&lt;25,"White"))))</f>
        <v>Green</v>
      </c>
      <c r="P405" s="7" t="s">
        <v>610</v>
      </c>
      <c r="Q405" s="8"/>
    </row>
    <row r="406" spans="1:17" ht="56" x14ac:dyDescent="0.3">
      <c r="A406" s="3">
        <v>175</v>
      </c>
      <c r="B406" s="4" t="s">
        <v>361</v>
      </c>
      <c r="C406" s="5">
        <v>10</v>
      </c>
      <c r="D406" s="5">
        <v>0</v>
      </c>
      <c r="E406" s="5">
        <v>15</v>
      </c>
      <c r="F406" s="14">
        <f>C406+D406+E406</f>
        <v>25</v>
      </c>
      <c r="G406" s="5">
        <v>25</v>
      </c>
      <c r="H406" s="5">
        <v>25</v>
      </c>
      <c r="I406" s="5">
        <v>25</v>
      </c>
      <c r="J406" s="14">
        <f>G406+H406+I406</f>
        <v>75</v>
      </c>
      <c r="K406" s="5">
        <v>0</v>
      </c>
      <c r="L406" s="5">
        <v>0</v>
      </c>
      <c r="M406" s="14">
        <f>K406+L406</f>
        <v>0</v>
      </c>
      <c r="N406" s="6">
        <f>(MAX(F406,J406,M406))+((100-MAX(F406,J406,M406))*((MEDIAN(F406,J406,M406)+MIN(F406,J406,M406))/200))</f>
        <v>78.125</v>
      </c>
      <c r="O406" s="5" t="str">
        <f>IF(N406&gt;=80,"Red",IF(AND(N406&gt;=55,N406&lt;80),"Orange",IF(AND(N406&gt;=#REF!,N406&lt;55),"Green",IF(N406&lt;25,"White"))))</f>
        <v>Orange</v>
      </c>
      <c r="P406" s="7" t="s">
        <v>610</v>
      </c>
      <c r="Q406" s="8"/>
    </row>
    <row r="407" spans="1:17" ht="84" x14ac:dyDescent="0.3">
      <c r="A407" s="3">
        <v>176</v>
      </c>
      <c r="B407" s="4" t="s">
        <v>236</v>
      </c>
      <c r="C407" s="7">
        <v>10</v>
      </c>
      <c r="D407" s="5">
        <v>15</v>
      </c>
      <c r="E407" s="5">
        <v>15</v>
      </c>
      <c r="F407" s="13">
        <f>C407+D407+E407</f>
        <v>40</v>
      </c>
      <c r="G407" s="7">
        <v>25</v>
      </c>
      <c r="H407" s="5">
        <v>0</v>
      </c>
      <c r="I407" s="5">
        <v>10</v>
      </c>
      <c r="J407" s="13">
        <f>G407+H407+I407</f>
        <v>35</v>
      </c>
      <c r="K407" s="7">
        <v>0</v>
      </c>
      <c r="L407" s="7">
        <v>0</v>
      </c>
      <c r="M407" s="13">
        <f>K407+L407</f>
        <v>0</v>
      </c>
      <c r="N407" s="6">
        <f>(MAX(F407,J407,M407))+((100-MAX(F407,J407,M407))*((MEDIAN(F407,J407,M407)+MIN(F407,J407,M407))/200))</f>
        <v>50.5</v>
      </c>
      <c r="O407" s="5" t="str">
        <f>IF(N407&gt;=80,"Red",IF(AND(N407&gt;=55,N407&lt;80),"Orange",IF(AND(N407&gt;=25,N407&lt;55),"Green",IF(N407&lt;25,"White"))))</f>
        <v>Green</v>
      </c>
      <c r="P407" s="7" t="s">
        <v>610</v>
      </c>
      <c r="Q407" s="8" t="s">
        <v>565</v>
      </c>
    </row>
    <row r="408" spans="1:17" ht="28" x14ac:dyDescent="0.3">
      <c r="A408" s="4">
        <v>177</v>
      </c>
      <c r="B408" s="4" t="s">
        <v>241</v>
      </c>
      <c r="C408" s="5"/>
      <c r="D408" s="5"/>
      <c r="E408" s="5"/>
      <c r="F408" s="14"/>
      <c r="G408" s="7"/>
      <c r="H408" s="5"/>
      <c r="I408" s="5"/>
      <c r="J408" s="14"/>
      <c r="K408" s="7"/>
      <c r="L408" s="7"/>
      <c r="M408" s="14"/>
      <c r="N408" s="6"/>
      <c r="O408" s="5"/>
      <c r="P408" s="7" t="s">
        <v>610</v>
      </c>
      <c r="Q408" s="8"/>
    </row>
    <row r="409" spans="1:17" ht="28" x14ac:dyDescent="0.3">
      <c r="A409" s="4">
        <v>177.1</v>
      </c>
      <c r="B409" s="4" t="s">
        <v>312</v>
      </c>
      <c r="C409" s="5">
        <v>10</v>
      </c>
      <c r="D409" s="5">
        <v>0</v>
      </c>
      <c r="E409" s="5">
        <v>15</v>
      </c>
      <c r="F409" s="14">
        <f>C409+D409+E409</f>
        <v>25</v>
      </c>
      <c r="G409" s="7">
        <v>25</v>
      </c>
      <c r="H409" s="5">
        <v>0</v>
      </c>
      <c r="I409" s="5">
        <v>25</v>
      </c>
      <c r="J409" s="13">
        <f>G409+H409+I409</f>
        <v>50</v>
      </c>
      <c r="K409" s="7">
        <v>0</v>
      </c>
      <c r="L409" s="7">
        <v>0</v>
      </c>
      <c r="M409" s="13">
        <f>K409+L409</f>
        <v>0</v>
      </c>
      <c r="N409" s="6">
        <f>(MAX(F409,J409,M409))+((100-MAX(F409,J409,M409))*((MEDIAN(F409,J409,M409)+MIN(F409,J409,M409))/200))</f>
        <v>56.25</v>
      </c>
      <c r="O409" s="5" t="str">
        <f>IF(N409&gt;=80,"Red",IF(AND(N409&gt;=55,N409&lt;80),"Orange",IF(AND(N409&gt;=25,N409&lt;55),"Green",IF(N409&lt;25,"White"))))</f>
        <v>Orange</v>
      </c>
      <c r="P409" s="7" t="s">
        <v>610</v>
      </c>
      <c r="Q409" s="8"/>
    </row>
    <row r="410" spans="1:17" ht="28" x14ac:dyDescent="0.3">
      <c r="A410" s="3">
        <v>177.2</v>
      </c>
      <c r="B410" s="4" t="s">
        <v>313</v>
      </c>
      <c r="C410" s="5">
        <v>10</v>
      </c>
      <c r="D410" s="5">
        <v>0</v>
      </c>
      <c r="E410" s="5">
        <v>15</v>
      </c>
      <c r="F410" s="14">
        <f>C410+D410+E410</f>
        <v>25</v>
      </c>
      <c r="G410" s="7">
        <v>0</v>
      </c>
      <c r="H410" s="5">
        <v>0</v>
      </c>
      <c r="I410" s="5">
        <v>0</v>
      </c>
      <c r="J410" s="13">
        <f>G410+H410+I410</f>
        <v>0</v>
      </c>
      <c r="K410" s="7">
        <v>0</v>
      </c>
      <c r="L410" s="7">
        <v>0</v>
      </c>
      <c r="M410" s="13">
        <f>K410+L410</f>
        <v>0</v>
      </c>
      <c r="N410" s="6">
        <f>(MAX(F410,J410,M410))+((100-MAX(F410,J410,M410))*((MEDIAN(F410,J410,M410)+MIN(F410,J410,M410))/200))</f>
        <v>25</v>
      </c>
      <c r="O410" s="5" t="str">
        <f>IF(N410&gt;=80,"Red",IF(AND(N410&gt;=55,N410&lt;80),"Orange",IF(AND(N410&gt;=25,N410&lt;55),"Green",IF(N410&lt;25,"White"))))</f>
        <v>Green</v>
      </c>
      <c r="P410" s="7" t="s">
        <v>610</v>
      </c>
      <c r="Q410" s="8"/>
    </row>
    <row r="411" spans="1:17" ht="28" x14ac:dyDescent="0.3">
      <c r="A411" s="3">
        <v>177.3</v>
      </c>
      <c r="B411" s="4" t="s">
        <v>242</v>
      </c>
      <c r="C411" s="5">
        <v>0</v>
      </c>
      <c r="D411" s="5">
        <v>0</v>
      </c>
      <c r="E411" s="5">
        <v>0</v>
      </c>
      <c r="F411" s="14">
        <f>C411+D411+E411</f>
        <v>0</v>
      </c>
      <c r="G411" s="5">
        <v>0</v>
      </c>
      <c r="H411" s="5">
        <v>0</v>
      </c>
      <c r="I411" s="5">
        <v>0</v>
      </c>
      <c r="J411" s="14">
        <f>G411+H411+I411</f>
        <v>0</v>
      </c>
      <c r="K411" s="5">
        <v>0</v>
      </c>
      <c r="L411" s="5">
        <v>0</v>
      </c>
      <c r="M411" s="14">
        <f>K411+L411</f>
        <v>0</v>
      </c>
      <c r="N411" s="6">
        <f>(MAX(F411,J411,M411))+((100-MAX(F411,J411,M411))*((MEDIAN(F411,J411,M411)+MIN(F411,J411,M411))/200))</f>
        <v>0</v>
      </c>
      <c r="O411" s="5" t="str">
        <f>IF(N411&gt;=80,"Red",IF(AND(N411&gt;=55,N411&lt;80),"Orange",IF(AND(N411&gt;=25,N411&lt;55),"Green",IF(N411&lt;25,"White"))))</f>
        <v>White</v>
      </c>
      <c r="P411" s="7" t="s">
        <v>610</v>
      </c>
      <c r="Q411" s="8"/>
    </row>
    <row r="412" spans="1:17" ht="28" x14ac:dyDescent="0.3">
      <c r="A412" s="3">
        <v>178</v>
      </c>
      <c r="B412" s="4" t="s">
        <v>298</v>
      </c>
      <c r="C412" s="10"/>
      <c r="D412" s="10"/>
      <c r="E412" s="10"/>
      <c r="F412" s="14"/>
      <c r="G412" s="10"/>
      <c r="H412" s="11"/>
      <c r="I412" s="11"/>
      <c r="J412" s="14"/>
      <c r="K412" s="10"/>
      <c r="L412" s="10"/>
      <c r="M412" s="14"/>
      <c r="N412" s="6"/>
      <c r="O412" s="5"/>
      <c r="P412" s="7" t="s">
        <v>610</v>
      </c>
      <c r="Q412" s="8"/>
    </row>
    <row r="413" spans="1:17" ht="70" x14ac:dyDescent="0.3">
      <c r="A413" s="3">
        <v>178.1</v>
      </c>
      <c r="B413" s="4" t="s">
        <v>422</v>
      </c>
      <c r="C413" s="2">
        <v>30</v>
      </c>
      <c r="D413" s="2">
        <v>30</v>
      </c>
      <c r="E413" s="2">
        <v>30</v>
      </c>
      <c r="F413" s="13">
        <f>C413+D413+E413</f>
        <v>90</v>
      </c>
      <c r="G413" s="2">
        <v>25</v>
      </c>
      <c r="H413" s="2">
        <v>0</v>
      </c>
      <c r="I413" s="2">
        <v>35</v>
      </c>
      <c r="J413" s="13">
        <f>G413+H413+I413</f>
        <v>60</v>
      </c>
      <c r="K413" s="7">
        <v>30</v>
      </c>
      <c r="L413" s="2">
        <v>20</v>
      </c>
      <c r="M413" s="13">
        <f>K413+L413</f>
        <v>50</v>
      </c>
      <c r="N413" s="6">
        <f>(MAX(F413,J413,M413))+((100-MAX(F413,J413,M413))*((MEDIAN(F413,J413,M413)+MIN(F413,J413,M413))/200))</f>
        <v>95.5</v>
      </c>
      <c r="O413" s="5" t="str">
        <f>IF(N413&gt;=80,"Red",IF(AND(N413&gt;=55,N413&lt;80),"Orange",IF(AND(N413&gt;=25,N413&lt;55),"Green",IF(N413&lt;25,"White"))))</f>
        <v>Red</v>
      </c>
      <c r="P413" s="7" t="s">
        <v>610</v>
      </c>
      <c r="Q413" s="8"/>
    </row>
    <row r="414" spans="1:17" ht="154" x14ac:dyDescent="0.3">
      <c r="A414" s="3">
        <v>178.2</v>
      </c>
      <c r="B414" s="4" t="s">
        <v>302</v>
      </c>
      <c r="C414" s="2">
        <v>20</v>
      </c>
      <c r="D414" s="2">
        <v>25</v>
      </c>
      <c r="E414" s="2">
        <v>25</v>
      </c>
      <c r="F414" s="13">
        <f>C414+D414+E414</f>
        <v>70</v>
      </c>
      <c r="G414" s="2">
        <v>0</v>
      </c>
      <c r="H414" s="2">
        <v>0</v>
      </c>
      <c r="I414" s="2">
        <v>0</v>
      </c>
      <c r="J414" s="13">
        <f>G414+H414+I414</f>
        <v>0</v>
      </c>
      <c r="K414" s="7">
        <v>0</v>
      </c>
      <c r="L414" s="2">
        <v>0</v>
      </c>
      <c r="M414" s="13">
        <f>K414+L414</f>
        <v>0</v>
      </c>
      <c r="N414" s="6">
        <f>(MAX(F414,J414,M414))+((100-MAX(F414,J414,M414))*((MEDIAN(F414,J414,M414)+MIN(F414,J414,M414))/200))</f>
        <v>70</v>
      </c>
      <c r="O414" s="5" t="str">
        <f>IF(N414&gt;=80,"Red",IF(AND(N414&gt;=55,N414&lt;80),"Orange",IF(AND(N414&gt;=25,N414&lt;55),"Green",IF(N414&lt;25,"White"))))</f>
        <v>Orange</v>
      </c>
      <c r="P414" s="7" t="s">
        <v>610</v>
      </c>
      <c r="Q414" s="8" t="s">
        <v>556</v>
      </c>
    </row>
    <row r="415" spans="1:17" ht="56" x14ac:dyDescent="0.3">
      <c r="A415" s="3">
        <v>178.3</v>
      </c>
      <c r="B415" s="4" t="s">
        <v>424</v>
      </c>
      <c r="C415" s="2">
        <v>0</v>
      </c>
      <c r="D415" s="2">
        <v>0</v>
      </c>
      <c r="E415" s="2">
        <v>0</v>
      </c>
      <c r="F415" s="13">
        <f>C415+D415+E415</f>
        <v>0</v>
      </c>
      <c r="G415" s="2">
        <v>25</v>
      </c>
      <c r="H415" s="2">
        <v>0</v>
      </c>
      <c r="I415" s="2">
        <v>25</v>
      </c>
      <c r="J415" s="13">
        <f>G415+H415+I415</f>
        <v>50</v>
      </c>
      <c r="K415" s="7">
        <v>0</v>
      </c>
      <c r="L415" s="2">
        <v>0</v>
      </c>
      <c r="M415" s="13">
        <f>K415+L415</f>
        <v>0</v>
      </c>
      <c r="N415" s="6">
        <f>(MAX(F415,J415,M415))+((100-MAX(F415,J415,M415))*((MEDIAN(F415,J415,M415)+MIN(F415,J415,M415))/200))</f>
        <v>50</v>
      </c>
      <c r="O415" s="5" t="str">
        <f>IF(N415&gt;=80,"Red",IF(AND(N415&gt;=55,N415&lt;80),"Orange",IF(AND(N415&gt;=25,N415&lt;55),"Green",IF(N415&lt;25,"White"))))</f>
        <v>Green</v>
      </c>
      <c r="P415" s="7" t="s">
        <v>610</v>
      </c>
      <c r="Q415" s="8"/>
    </row>
    <row r="416" spans="1:17" ht="56" x14ac:dyDescent="0.3">
      <c r="A416" s="3">
        <v>178.4</v>
      </c>
      <c r="B416" s="4" t="s">
        <v>425</v>
      </c>
      <c r="C416" s="2">
        <v>0</v>
      </c>
      <c r="D416" s="2">
        <v>0</v>
      </c>
      <c r="E416" s="2">
        <v>0</v>
      </c>
      <c r="F416" s="13">
        <f>C416+D416+E416</f>
        <v>0</v>
      </c>
      <c r="G416" s="2">
        <v>0</v>
      </c>
      <c r="H416" s="2">
        <v>0</v>
      </c>
      <c r="I416" s="2">
        <v>0</v>
      </c>
      <c r="J416" s="13">
        <f>G416+H416+I416</f>
        <v>0</v>
      </c>
      <c r="K416" s="7">
        <v>0</v>
      </c>
      <c r="L416" s="2">
        <v>0</v>
      </c>
      <c r="M416" s="13">
        <f>K416+L416</f>
        <v>0</v>
      </c>
      <c r="N416" s="6">
        <f>(MAX(F416,J416,M416))+((100-MAX(F416,J416,M416))*((MEDIAN(F416,J416,M416)+MIN(F416,J416,M416))/200))</f>
        <v>0</v>
      </c>
      <c r="O416" s="5" t="str">
        <f>IF(N416&gt;=80,"Red",IF(AND(N416&gt;=55,N416&lt;80),"Orange",IF(AND(N416&gt;=25,N416&lt;55),"Green",IF(N416&lt;25,"White"))))</f>
        <v>White</v>
      </c>
      <c r="P416" s="7" t="s">
        <v>610</v>
      </c>
      <c r="Q416" s="8"/>
    </row>
    <row r="417" spans="1:17" ht="28" x14ac:dyDescent="0.3">
      <c r="A417" s="3">
        <v>179</v>
      </c>
      <c r="B417" s="4" t="s">
        <v>121</v>
      </c>
      <c r="C417" s="7"/>
      <c r="D417" s="5"/>
      <c r="E417" s="5"/>
      <c r="F417" s="14"/>
      <c r="G417" s="7"/>
      <c r="H417" s="5"/>
      <c r="I417" s="5"/>
      <c r="J417" s="14"/>
      <c r="K417" s="7"/>
      <c r="L417" s="7"/>
      <c r="M417" s="14"/>
      <c r="N417" s="6"/>
      <c r="O417" s="5"/>
      <c r="P417" s="7" t="s">
        <v>610</v>
      </c>
      <c r="Q417" s="8"/>
    </row>
    <row r="418" spans="1:17" ht="168" x14ac:dyDescent="0.3">
      <c r="A418" s="3">
        <v>179.1</v>
      </c>
      <c r="B418" s="4" t="s">
        <v>122</v>
      </c>
      <c r="C418" s="7">
        <v>25</v>
      </c>
      <c r="D418" s="5">
        <v>0</v>
      </c>
      <c r="E418" s="5">
        <v>25</v>
      </c>
      <c r="F418" s="13">
        <f>C418+D418+E418</f>
        <v>50</v>
      </c>
      <c r="G418" s="7">
        <v>25</v>
      </c>
      <c r="H418" s="5">
        <v>0</v>
      </c>
      <c r="I418" s="5">
        <v>20</v>
      </c>
      <c r="J418" s="13">
        <f>G418+H418+I418</f>
        <v>45</v>
      </c>
      <c r="K418" s="5">
        <v>30</v>
      </c>
      <c r="L418" s="7">
        <v>10</v>
      </c>
      <c r="M418" s="13">
        <f>K418+L418</f>
        <v>40</v>
      </c>
      <c r="N418" s="6">
        <f>(MAX(F418,J418,M418))+((100-MAX(F418,J418,M418))*((MEDIAN(F418,J418,M418)+MIN(F418,J418,M418))/200))</f>
        <v>71.25</v>
      </c>
      <c r="O418" s="5" t="str">
        <f>IF(N418&gt;=80,"Red",IF(AND(N418&gt;=55,N418&lt;80),"Orange",IF(AND(N418&gt;=25,N418&lt;55),"Green",IF(N418&lt;25,"White"))))</f>
        <v>Orange</v>
      </c>
      <c r="P418" s="7" t="s">
        <v>610</v>
      </c>
      <c r="Q418" s="8" t="s">
        <v>557</v>
      </c>
    </row>
    <row r="419" spans="1:17" ht="28" x14ac:dyDescent="0.3">
      <c r="A419" s="3">
        <v>179.2</v>
      </c>
      <c r="B419" s="4" t="s">
        <v>123</v>
      </c>
      <c r="C419" s="7">
        <v>0</v>
      </c>
      <c r="D419" s="5">
        <v>0</v>
      </c>
      <c r="E419" s="5">
        <v>0</v>
      </c>
      <c r="F419" s="13">
        <f>C419+D419+E419</f>
        <v>0</v>
      </c>
      <c r="G419" s="7">
        <v>25</v>
      </c>
      <c r="H419" s="5">
        <v>0</v>
      </c>
      <c r="I419" s="5">
        <v>20</v>
      </c>
      <c r="J419" s="13">
        <f>G419+H419+I419</f>
        <v>45</v>
      </c>
      <c r="K419" s="7">
        <v>0</v>
      </c>
      <c r="L419" s="7">
        <v>0</v>
      </c>
      <c r="M419" s="13">
        <f>K419+L419</f>
        <v>0</v>
      </c>
      <c r="N419" s="6">
        <f>(MAX(F419,J419,M419))+((100-MAX(F419,J419,M419))*((MEDIAN(F419,J419,M419)+MIN(F419,J419,M419))/200))</f>
        <v>45</v>
      </c>
      <c r="O419" s="5" t="str">
        <f>IF(N419&gt;=80,"Red",IF(AND(N419&gt;=55,N419&lt;80),"Orange",IF(AND(N419&gt;=25,N419&lt;55),"Green",IF(N419&lt;25,"White"))))</f>
        <v>Green</v>
      </c>
      <c r="P419" s="7" t="s">
        <v>610</v>
      </c>
      <c r="Q419" s="8"/>
    </row>
    <row r="420" spans="1:17" ht="28" x14ac:dyDescent="0.3">
      <c r="A420" s="3">
        <v>180</v>
      </c>
      <c r="B420" s="4" t="s">
        <v>299</v>
      </c>
      <c r="C420" s="5"/>
      <c r="D420" s="5"/>
      <c r="E420" s="5"/>
      <c r="F420" s="14"/>
      <c r="G420" s="2"/>
      <c r="H420" s="5"/>
      <c r="I420" s="5"/>
      <c r="J420" s="13"/>
      <c r="K420" s="2"/>
      <c r="L420" s="2"/>
      <c r="M420" s="13"/>
      <c r="N420" s="6"/>
      <c r="O420" s="5"/>
      <c r="P420" s="7" t="s">
        <v>610</v>
      </c>
      <c r="Q420" s="8"/>
    </row>
    <row r="421" spans="1:17" ht="42" x14ac:dyDescent="0.3">
      <c r="A421" s="3">
        <v>180.1</v>
      </c>
      <c r="B421" s="4" t="s">
        <v>443</v>
      </c>
      <c r="C421" s="5">
        <v>10</v>
      </c>
      <c r="D421" s="5">
        <v>20</v>
      </c>
      <c r="E421" s="5">
        <v>20</v>
      </c>
      <c r="F421" s="14">
        <f>C421+D421+E421</f>
        <v>50</v>
      </c>
      <c r="G421" s="2">
        <v>25</v>
      </c>
      <c r="H421" s="5">
        <v>0</v>
      </c>
      <c r="I421" s="5">
        <v>15</v>
      </c>
      <c r="J421" s="13">
        <f>G421+H421+I421</f>
        <v>40</v>
      </c>
      <c r="K421" s="2">
        <v>0</v>
      </c>
      <c r="L421" s="2">
        <v>0</v>
      </c>
      <c r="M421" s="13">
        <f>K421+L421</f>
        <v>0</v>
      </c>
      <c r="N421" s="6">
        <f>(MAX(F421,J421,M421))+((100-MAX(F421,J421,M421))*((MEDIAN(F421,J421,M421)+MIN(F421,J421,M421))/200))</f>
        <v>60</v>
      </c>
      <c r="O421" s="5" t="str">
        <f>IF(N421&gt;=80,"Red",IF(AND(N421&gt;=55,N421&lt;80),"Orange",IF(AND(N421&gt;=25,N421&lt;55),"Green",IF(N421&lt;25,"White"))))</f>
        <v>Orange</v>
      </c>
      <c r="P421" s="7" t="s">
        <v>610</v>
      </c>
      <c r="Q421" s="8"/>
    </row>
    <row r="422" spans="1:17" ht="28" x14ac:dyDescent="0.3">
      <c r="A422" s="3">
        <v>180.2</v>
      </c>
      <c r="B422" s="4" t="s">
        <v>344</v>
      </c>
      <c r="C422" s="5">
        <v>10</v>
      </c>
      <c r="D422" s="5">
        <v>20</v>
      </c>
      <c r="E422" s="5">
        <v>15</v>
      </c>
      <c r="F422" s="14">
        <f>C422+D422+E422</f>
        <v>45</v>
      </c>
      <c r="G422" s="2">
        <v>25</v>
      </c>
      <c r="H422" s="5">
        <v>0</v>
      </c>
      <c r="I422" s="5">
        <v>10</v>
      </c>
      <c r="J422" s="13">
        <f>G422+H422+I422</f>
        <v>35</v>
      </c>
      <c r="K422" s="2">
        <v>0</v>
      </c>
      <c r="L422" s="2">
        <v>0</v>
      </c>
      <c r="M422" s="13">
        <f>K422+L422</f>
        <v>0</v>
      </c>
      <c r="N422" s="6">
        <f>(MAX(F422,J422,M422))+((100-MAX(F422,J422,M422))*((MEDIAN(F422,J422,M422)+MIN(F422,J422,M422))/200))</f>
        <v>54.625</v>
      </c>
      <c r="O422" s="5" t="str">
        <f>IF(N422&gt;=80,"Red",IF(AND(N422&gt;=55,N422&lt;80),"Orange",IF(AND(N422&gt;=25,N422&lt;55),"Green",IF(N422&lt;25,"White"))))</f>
        <v>Green</v>
      </c>
      <c r="P422" s="7" t="s">
        <v>610</v>
      </c>
      <c r="Q422" s="8"/>
    </row>
    <row r="423" spans="1:17" ht="28" x14ac:dyDescent="0.3">
      <c r="A423" s="3">
        <v>181</v>
      </c>
      <c r="B423" s="4" t="s">
        <v>224</v>
      </c>
      <c r="C423" s="5">
        <v>0</v>
      </c>
      <c r="D423" s="5">
        <v>0</v>
      </c>
      <c r="E423" s="5">
        <v>0</v>
      </c>
      <c r="F423" s="14">
        <f>C423+D423+E423</f>
        <v>0</v>
      </c>
      <c r="G423" s="7">
        <v>0</v>
      </c>
      <c r="H423" s="5">
        <v>25</v>
      </c>
      <c r="I423" s="5">
        <v>0</v>
      </c>
      <c r="J423" s="13">
        <f>G423+H423+I423</f>
        <v>25</v>
      </c>
      <c r="K423" s="7">
        <v>0</v>
      </c>
      <c r="L423" s="7">
        <v>0</v>
      </c>
      <c r="M423" s="13">
        <f>K423+L423</f>
        <v>0</v>
      </c>
      <c r="N423" s="6">
        <f>(MAX(F423,J423,M423))+((100-MAX(F423,J423,M423))*((MEDIAN(F423,J423,M423)+MIN(F423,J423,M423))/200))</f>
        <v>25</v>
      </c>
      <c r="O423" s="5" t="str">
        <f>IF(N423&gt;=80,"Red",IF(AND(N423&gt;=55,N423&lt;80),"Orange",IF(AND(N423&gt;=25,N423&lt;55),"Green",IF(N423&lt;25,"White"))))</f>
        <v>Green</v>
      </c>
      <c r="P423" s="7" t="s">
        <v>610</v>
      </c>
      <c r="Q423" s="8"/>
    </row>
    <row r="424" spans="1:17" ht="28" x14ac:dyDescent="0.3">
      <c r="A424" s="3">
        <v>182</v>
      </c>
      <c r="B424" s="4" t="s">
        <v>301</v>
      </c>
      <c r="C424" s="5"/>
      <c r="D424" s="5"/>
      <c r="E424" s="5"/>
      <c r="F424" s="14"/>
      <c r="G424" s="7"/>
      <c r="H424" s="5"/>
      <c r="I424" s="5"/>
      <c r="J424" s="13"/>
      <c r="K424" s="7"/>
      <c r="L424" s="7"/>
      <c r="M424" s="13"/>
      <c r="N424" s="6"/>
      <c r="O424" s="5"/>
      <c r="P424" s="7" t="s">
        <v>610</v>
      </c>
      <c r="Q424" s="8"/>
    </row>
    <row r="425" spans="1:17" ht="42" x14ac:dyDescent="0.3">
      <c r="A425" s="3">
        <v>182.1</v>
      </c>
      <c r="B425" s="4" t="s">
        <v>405</v>
      </c>
      <c r="C425" s="5">
        <v>30</v>
      </c>
      <c r="D425" s="5">
        <v>30</v>
      </c>
      <c r="E425" s="5">
        <v>20</v>
      </c>
      <c r="F425" s="14">
        <f t="shared" ref="F425:F460" si="88">C425+D425+E425</f>
        <v>80</v>
      </c>
      <c r="G425" s="7">
        <v>25</v>
      </c>
      <c r="H425" s="5">
        <v>25</v>
      </c>
      <c r="I425" s="5">
        <v>15</v>
      </c>
      <c r="J425" s="13">
        <f t="shared" ref="J425:J460" si="89">G425+H425+I425</f>
        <v>65</v>
      </c>
      <c r="K425" s="7">
        <v>0</v>
      </c>
      <c r="L425" s="7">
        <v>0</v>
      </c>
      <c r="M425" s="13">
        <f t="shared" ref="M425:M460" si="90">K425+L425</f>
        <v>0</v>
      </c>
      <c r="N425" s="6">
        <f t="shared" ref="N425:N460" si="91">(MAX(F425,J425,M425))+((100-MAX(F425,J425,M425))*((MEDIAN(F425,J425,M425)+MIN(F425,J425,M425))/200))</f>
        <v>86.5</v>
      </c>
      <c r="O425" s="5" t="str">
        <f t="shared" ref="O425:O460" si="92">IF(N425&gt;=80,"Red",IF(AND(N425&gt;=55,N425&lt;80),"Orange",IF(AND(N425&gt;=25,N425&lt;55),"Green",IF(N425&lt;25,"White"))))</f>
        <v>Red</v>
      </c>
      <c r="P425" s="7" t="s">
        <v>610</v>
      </c>
      <c r="Q425" s="8"/>
    </row>
    <row r="426" spans="1:17" ht="28" x14ac:dyDescent="0.3">
      <c r="A426" s="3">
        <v>182.2</v>
      </c>
      <c r="B426" s="4" t="s">
        <v>300</v>
      </c>
      <c r="C426" s="5">
        <v>0</v>
      </c>
      <c r="D426" s="5">
        <v>0</v>
      </c>
      <c r="E426" s="5">
        <v>0</v>
      </c>
      <c r="F426" s="14">
        <f t="shared" si="88"/>
        <v>0</v>
      </c>
      <c r="G426" s="7">
        <v>0</v>
      </c>
      <c r="H426" s="5">
        <v>25</v>
      </c>
      <c r="I426" s="5">
        <v>0</v>
      </c>
      <c r="J426" s="13">
        <f t="shared" si="89"/>
        <v>25</v>
      </c>
      <c r="K426" s="7">
        <v>0</v>
      </c>
      <c r="L426" s="7">
        <v>0</v>
      </c>
      <c r="M426" s="13">
        <f t="shared" si="90"/>
        <v>0</v>
      </c>
      <c r="N426" s="6">
        <f t="shared" si="91"/>
        <v>25</v>
      </c>
      <c r="O426" s="5" t="str">
        <f t="shared" si="92"/>
        <v>Green</v>
      </c>
      <c r="P426" s="7" t="s">
        <v>610</v>
      </c>
      <c r="Q426" s="8"/>
    </row>
    <row r="427" spans="1:17" ht="42" x14ac:dyDescent="0.3">
      <c r="A427" s="3">
        <v>183</v>
      </c>
      <c r="B427" s="4" t="s">
        <v>251</v>
      </c>
      <c r="C427" s="5">
        <v>0</v>
      </c>
      <c r="D427" s="5">
        <v>0</v>
      </c>
      <c r="E427" s="5">
        <v>0</v>
      </c>
      <c r="F427" s="14">
        <f t="shared" si="88"/>
        <v>0</v>
      </c>
      <c r="G427" s="5">
        <v>0</v>
      </c>
      <c r="H427" s="5">
        <v>0</v>
      </c>
      <c r="I427" s="5">
        <v>0</v>
      </c>
      <c r="J427" s="14">
        <f t="shared" si="89"/>
        <v>0</v>
      </c>
      <c r="K427" s="5">
        <v>0</v>
      </c>
      <c r="L427" s="5">
        <v>0</v>
      </c>
      <c r="M427" s="14">
        <f t="shared" si="90"/>
        <v>0</v>
      </c>
      <c r="N427" s="6">
        <f t="shared" si="91"/>
        <v>0</v>
      </c>
      <c r="O427" s="5" t="str">
        <f t="shared" si="92"/>
        <v>White</v>
      </c>
      <c r="P427" s="7" t="s">
        <v>610</v>
      </c>
      <c r="Q427" s="8"/>
    </row>
    <row r="428" spans="1:17" ht="28" x14ac:dyDescent="0.3">
      <c r="A428" s="3">
        <v>184</v>
      </c>
      <c r="B428" s="4" t="s">
        <v>240</v>
      </c>
      <c r="C428" s="5">
        <v>0</v>
      </c>
      <c r="D428" s="5">
        <v>0</v>
      </c>
      <c r="E428" s="5">
        <v>0</v>
      </c>
      <c r="F428" s="14">
        <f t="shared" si="88"/>
        <v>0</v>
      </c>
      <c r="G428" s="7">
        <v>25</v>
      </c>
      <c r="H428" s="5">
        <v>0</v>
      </c>
      <c r="I428" s="5">
        <v>25</v>
      </c>
      <c r="J428" s="13">
        <f t="shared" si="89"/>
        <v>50</v>
      </c>
      <c r="K428" s="7">
        <v>0</v>
      </c>
      <c r="L428" s="7">
        <v>0</v>
      </c>
      <c r="M428" s="13">
        <f t="shared" si="90"/>
        <v>0</v>
      </c>
      <c r="N428" s="6">
        <f t="shared" si="91"/>
        <v>50</v>
      </c>
      <c r="O428" s="5" t="str">
        <f t="shared" si="92"/>
        <v>Green</v>
      </c>
      <c r="P428" s="7" t="s">
        <v>610</v>
      </c>
      <c r="Q428" s="8"/>
    </row>
    <row r="429" spans="1:17" ht="28" x14ac:dyDescent="0.3">
      <c r="A429" s="3">
        <v>185</v>
      </c>
      <c r="B429" s="4" t="s">
        <v>226</v>
      </c>
      <c r="C429" s="5">
        <v>0</v>
      </c>
      <c r="D429" s="5">
        <v>0</v>
      </c>
      <c r="E429" s="5">
        <v>0</v>
      </c>
      <c r="F429" s="14">
        <f t="shared" si="88"/>
        <v>0</v>
      </c>
      <c r="G429" s="7">
        <v>0</v>
      </c>
      <c r="H429" s="5">
        <v>25</v>
      </c>
      <c r="I429" s="5">
        <v>0</v>
      </c>
      <c r="J429" s="13">
        <f t="shared" si="89"/>
        <v>25</v>
      </c>
      <c r="K429" s="7">
        <v>0</v>
      </c>
      <c r="L429" s="7">
        <v>0</v>
      </c>
      <c r="M429" s="13">
        <f t="shared" si="90"/>
        <v>0</v>
      </c>
      <c r="N429" s="6">
        <f t="shared" si="91"/>
        <v>25</v>
      </c>
      <c r="O429" s="5" t="str">
        <f t="shared" si="92"/>
        <v>Green</v>
      </c>
      <c r="P429" s="7" t="s">
        <v>610</v>
      </c>
      <c r="Q429" s="8"/>
    </row>
    <row r="430" spans="1:17" ht="28" x14ac:dyDescent="0.3">
      <c r="A430" s="3">
        <v>186</v>
      </c>
      <c r="B430" s="4" t="s">
        <v>234</v>
      </c>
      <c r="C430" s="7">
        <v>0</v>
      </c>
      <c r="D430" s="5">
        <v>20</v>
      </c>
      <c r="E430" s="5">
        <v>20</v>
      </c>
      <c r="F430" s="13">
        <f t="shared" si="88"/>
        <v>40</v>
      </c>
      <c r="G430" s="5">
        <v>0</v>
      </c>
      <c r="H430" s="5">
        <v>0</v>
      </c>
      <c r="I430" s="5">
        <v>0</v>
      </c>
      <c r="J430" s="13">
        <f t="shared" si="89"/>
        <v>0</v>
      </c>
      <c r="K430" s="5">
        <v>0</v>
      </c>
      <c r="L430" s="5">
        <v>0</v>
      </c>
      <c r="M430" s="14">
        <f t="shared" si="90"/>
        <v>0</v>
      </c>
      <c r="N430" s="6">
        <f t="shared" si="91"/>
        <v>40</v>
      </c>
      <c r="O430" s="5" t="str">
        <f t="shared" si="92"/>
        <v>Green</v>
      </c>
      <c r="P430" s="7" t="s">
        <v>610</v>
      </c>
      <c r="Q430" s="8"/>
    </row>
    <row r="431" spans="1:17" ht="28" x14ac:dyDescent="0.3">
      <c r="A431" s="3">
        <v>187</v>
      </c>
      <c r="B431" s="4" t="s">
        <v>303</v>
      </c>
      <c r="C431" s="7">
        <v>0</v>
      </c>
      <c r="D431" s="5">
        <v>20</v>
      </c>
      <c r="E431" s="5">
        <v>25</v>
      </c>
      <c r="F431" s="13">
        <f t="shared" si="88"/>
        <v>45</v>
      </c>
      <c r="G431" s="5">
        <v>0</v>
      </c>
      <c r="H431" s="5">
        <v>0</v>
      </c>
      <c r="I431" s="5">
        <v>0</v>
      </c>
      <c r="J431" s="14">
        <f t="shared" si="89"/>
        <v>0</v>
      </c>
      <c r="K431" s="5">
        <v>0</v>
      </c>
      <c r="L431" s="5">
        <v>0</v>
      </c>
      <c r="M431" s="14">
        <f t="shared" si="90"/>
        <v>0</v>
      </c>
      <c r="N431" s="6">
        <f t="shared" si="91"/>
        <v>45</v>
      </c>
      <c r="O431" s="5" t="str">
        <f t="shared" si="92"/>
        <v>Green</v>
      </c>
      <c r="P431" s="7" t="s">
        <v>610</v>
      </c>
      <c r="Q431" s="8" t="s">
        <v>564</v>
      </c>
    </row>
    <row r="432" spans="1:17" ht="70" x14ac:dyDescent="0.3">
      <c r="A432" s="5">
        <v>188</v>
      </c>
      <c r="B432" s="4" t="s">
        <v>574</v>
      </c>
      <c r="C432" s="5">
        <v>0</v>
      </c>
      <c r="D432" s="5">
        <v>0</v>
      </c>
      <c r="E432" s="5">
        <v>0</v>
      </c>
      <c r="F432" s="14">
        <f t="shared" si="88"/>
        <v>0</v>
      </c>
      <c r="G432" s="5">
        <v>0</v>
      </c>
      <c r="H432" s="5">
        <v>0</v>
      </c>
      <c r="I432" s="5">
        <v>10</v>
      </c>
      <c r="J432" s="14">
        <f t="shared" si="89"/>
        <v>10</v>
      </c>
      <c r="K432" s="5">
        <v>0</v>
      </c>
      <c r="L432" s="5">
        <v>0</v>
      </c>
      <c r="M432" s="14">
        <f t="shared" si="90"/>
        <v>0</v>
      </c>
      <c r="N432" s="6">
        <f t="shared" si="91"/>
        <v>10</v>
      </c>
      <c r="O432" s="5" t="str">
        <f t="shared" si="92"/>
        <v>White</v>
      </c>
      <c r="P432" s="7" t="s">
        <v>610</v>
      </c>
      <c r="Q432" s="8"/>
    </row>
    <row r="433" spans="1:17" ht="42" x14ac:dyDescent="0.3">
      <c r="A433" s="5">
        <v>189</v>
      </c>
      <c r="B433" s="4" t="s">
        <v>575</v>
      </c>
      <c r="C433" s="5">
        <v>0</v>
      </c>
      <c r="D433" s="5">
        <v>0</v>
      </c>
      <c r="E433" s="5">
        <v>0</v>
      </c>
      <c r="F433" s="14">
        <f t="shared" si="88"/>
        <v>0</v>
      </c>
      <c r="G433" s="5">
        <v>0</v>
      </c>
      <c r="H433" s="5">
        <v>20</v>
      </c>
      <c r="I433" s="5">
        <v>0</v>
      </c>
      <c r="J433" s="14">
        <f t="shared" si="89"/>
        <v>20</v>
      </c>
      <c r="K433" s="5">
        <v>0</v>
      </c>
      <c r="L433" s="5">
        <v>0</v>
      </c>
      <c r="M433" s="14">
        <f t="shared" si="90"/>
        <v>0</v>
      </c>
      <c r="N433" s="6">
        <f t="shared" si="91"/>
        <v>20</v>
      </c>
      <c r="O433" s="5" t="str">
        <f t="shared" si="92"/>
        <v>White</v>
      </c>
      <c r="P433" s="7" t="s">
        <v>610</v>
      </c>
      <c r="Q433" s="8"/>
    </row>
    <row r="434" spans="1:17" ht="112" x14ac:dyDescent="0.3">
      <c r="A434" s="5">
        <v>190</v>
      </c>
      <c r="B434" s="4" t="s">
        <v>576</v>
      </c>
      <c r="C434" s="5">
        <v>0</v>
      </c>
      <c r="D434" s="5">
        <v>0</v>
      </c>
      <c r="E434" s="5">
        <v>0</v>
      </c>
      <c r="F434" s="14">
        <f t="shared" si="88"/>
        <v>0</v>
      </c>
      <c r="G434" s="5">
        <v>0</v>
      </c>
      <c r="H434" s="5">
        <v>0</v>
      </c>
      <c r="I434" s="5">
        <v>10</v>
      </c>
      <c r="J434" s="14">
        <f t="shared" si="89"/>
        <v>10</v>
      </c>
      <c r="K434" s="5">
        <v>0</v>
      </c>
      <c r="L434" s="5">
        <v>0</v>
      </c>
      <c r="M434" s="14">
        <f t="shared" si="90"/>
        <v>0</v>
      </c>
      <c r="N434" s="6">
        <f t="shared" si="91"/>
        <v>10</v>
      </c>
      <c r="O434" s="5" t="str">
        <f t="shared" si="92"/>
        <v>White</v>
      </c>
      <c r="P434" s="7" t="s">
        <v>610</v>
      </c>
      <c r="Q434" s="8"/>
    </row>
    <row r="435" spans="1:17" ht="56" x14ac:dyDescent="0.3">
      <c r="A435" s="5">
        <v>191</v>
      </c>
      <c r="B435" s="4" t="s">
        <v>577</v>
      </c>
      <c r="C435" s="5">
        <v>0</v>
      </c>
      <c r="D435" s="5">
        <v>0</v>
      </c>
      <c r="E435" s="5">
        <v>0</v>
      </c>
      <c r="F435" s="14">
        <f t="shared" si="88"/>
        <v>0</v>
      </c>
      <c r="G435" s="5">
        <v>0</v>
      </c>
      <c r="H435" s="5">
        <v>0</v>
      </c>
      <c r="I435" s="5">
        <v>0</v>
      </c>
      <c r="J435" s="14">
        <f t="shared" si="89"/>
        <v>0</v>
      </c>
      <c r="K435" s="5">
        <v>0</v>
      </c>
      <c r="L435" s="5">
        <v>0</v>
      </c>
      <c r="M435" s="14">
        <f t="shared" si="90"/>
        <v>0</v>
      </c>
      <c r="N435" s="6">
        <f t="shared" si="91"/>
        <v>0</v>
      </c>
      <c r="O435" s="5" t="str">
        <f t="shared" si="92"/>
        <v>White</v>
      </c>
      <c r="P435" s="7" t="s">
        <v>610</v>
      </c>
      <c r="Q435" s="8"/>
    </row>
    <row r="436" spans="1:17" ht="42" x14ac:dyDescent="0.3">
      <c r="A436" s="5">
        <v>192</v>
      </c>
      <c r="B436" s="4" t="s">
        <v>578</v>
      </c>
      <c r="C436" s="5">
        <v>0</v>
      </c>
      <c r="D436" s="5">
        <v>0</v>
      </c>
      <c r="E436" s="5">
        <v>0</v>
      </c>
      <c r="F436" s="14">
        <f t="shared" si="88"/>
        <v>0</v>
      </c>
      <c r="G436" s="5">
        <v>0</v>
      </c>
      <c r="H436" s="5">
        <v>20</v>
      </c>
      <c r="I436" s="5">
        <v>0</v>
      </c>
      <c r="J436" s="14">
        <f t="shared" si="89"/>
        <v>20</v>
      </c>
      <c r="K436" s="5">
        <v>0</v>
      </c>
      <c r="L436" s="5">
        <v>0</v>
      </c>
      <c r="M436" s="14">
        <f t="shared" si="90"/>
        <v>0</v>
      </c>
      <c r="N436" s="6">
        <f t="shared" si="91"/>
        <v>20</v>
      </c>
      <c r="O436" s="5" t="str">
        <f t="shared" si="92"/>
        <v>White</v>
      </c>
      <c r="P436" s="7" t="s">
        <v>610</v>
      </c>
      <c r="Q436" s="8"/>
    </row>
    <row r="437" spans="1:17" ht="42" x14ac:dyDescent="0.3">
      <c r="A437" s="5">
        <v>193</v>
      </c>
      <c r="B437" s="4" t="s">
        <v>579</v>
      </c>
      <c r="C437" s="5">
        <v>0</v>
      </c>
      <c r="D437" s="5">
        <v>0</v>
      </c>
      <c r="E437" s="5">
        <v>0</v>
      </c>
      <c r="F437" s="14">
        <f t="shared" si="88"/>
        <v>0</v>
      </c>
      <c r="G437" s="5">
        <v>0</v>
      </c>
      <c r="H437" s="5">
        <v>0</v>
      </c>
      <c r="I437" s="5">
        <v>0</v>
      </c>
      <c r="J437" s="14">
        <f t="shared" si="89"/>
        <v>0</v>
      </c>
      <c r="K437" s="5">
        <v>0</v>
      </c>
      <c r="L437" s="5">
        <v>0</v>
      </c>
      <c r="M437" s="14">
        <f t="shared" si="90"/>
        <v>0</v>
      </c>
      <c r="N437" s="6">
        <f t="shared" si="91"/>
        <v>0</v>
      </c>
      <c r="O437" s="5" t="str">
        <f t="shared" si="92"/>
        <v>White</v>
      </c>
      <c r="P437" s="7" t="s">
        <v>610</v>
      </c>
      <c r="Q437" s="8"/>
    </row>
    <row r="438" spans="1:17" ht="28" x14ac:dyDescent="0.3">
      <c r="A438" s="5">
        <v>194</v>
      </c>
      <c r="B438" s="4" t="s">
        <v>580</v>
      </c>
      <c r="C438" s="5">
        <v>0</v>
      </c>
      <c r="D438" s="5">
        <v>0</v>
      </c>
      <c r="E438" s="5">
        <v>0</v>
      </c>
      <c r="F438" s="14">
        <f t="shared" si="88"/>
        <v>0</v>
      </c>
      <c r="G438" s="5">
        <v>0</v>
      </c>
      <c r="H438" s="5">
        <v>0</v>
      </c>
      <c r="I438" s="5">
        <v>0</v>
      </c>
      <c r="J438" s="14">
        <f t="shared" si="89"/>
        <v>0</v>
      </c>
      <c r="K438" s="5">
        <v>0</v>
      </c>
      <c r="L438" s="5">
        <v>0</v>
      </c>
      <c r="M438" s="14">
        <f t="shared" si="90"/>
        <v>0</v>
      </c>
      <c r="N438" s="6">
        <f t="shared" si="91"/>
        <v>0</v>
      </c>
      <c r="O438" s="5" t="str">
        <f t="shared" si="92"/>
        <v>White</v>
      </c>
      <c r="P438" s="7" t="s">
        <v>610</v>
      </c>
      <c r="Q438" s="8"/>
    </row>
    <row r="439" spans="1:17" ht="42" x14ac:dyDescent="0.3">
      <c r="A439" s="5">
        <v>195</v>
      </c>
      <c r="B439" s="4" t="s">
        <v>581</v>
      </c>
      <c r="C439" s="5">
        <v>0</v>
      </c>
      <c r="D439" s="5">
        <v>0</v>
      </c>
      <c r="E439" s="5">
        <v>0</v>
      </c>
      <c r="F439" s="14">
        <f t="shared" si="88"/>
        <v>0</v>
      </c>
      <c r="G439" s="5">
        <v>0</v>
      </c>
      <c r="H439" s="5">
        <v>20</v>
      </c>
      <c r="I439" s="5">
        <v>0</v>
      </c>
      <c r="J439" s="14">
        <f t="shared" si="89"/>
        <v>20</v>
      </c>
      <c r="K439" s="5">
        <v>0</v>
      </c>
      <c r="L439" s="5">
        <v>0</v>
      </c>
      <c r="M439" s="14">
        <f t="shared" si="90"/>
        <v>0</v>
      </c>
      <c r="N439" s="6">
        <f t="shared" si="91"/>
        <v>20</v>
      </c>
      <c r="O439" s="5" t="str">
        <f t="shared" si="92"/>
        <v>White</v>
      </c>
      <c r="P439" s="7" t="s">
        <v>610</v>
      </c>
      <c r="Q439" s="8"/>
    </row>
    <row r="440" spans="1:17" ht="28" x14ac:dyDescent="0.3">
      <c r="A440" s="5">
        <v>196</v>
      </c>
      <c r="B440" s="4" t="s">
        <v>582</v>
      </c>
      <c r="C440" s="5">
        <v>0</v>
      </c>
      <c r="D440" s="5">
        <v>0</v>
      </c>
      <c r="E440" s="5">
        <v>0</v>
      </c>
      <c r="F440" s="14">
        <f t="shared" si="88"/>
        <v>0</v>
      </c>
      <c r="G440" s="5">
        <v>0</v>
      </c>
      <c r="H440" s="5">
        <v>20</v>
      </c>
      <c r="I440" s="5">
        <v>0</v>
      </c>
      <c r="J440" s="14">
        <f t="shared" si="89"/>
        <v>20</v>
      </c>
      <c r="K440" s="5">
        <v>0</v>
      </c>
      <c r="L440" s="5">
        <v>0</v>
      </c>
      <c r="M440" s="14">
        <f t="shared" si="90"/>
        <v>0</v>
      </c>
      <c r="N440" s="6">
        <f t="shared" si="91"/>
        <v>20</v>
      </c>
      <c r="O440" s="5" t="str">
        <f t="shared" si="92"/>
        <v>White</v>
      </c>
      <c r="P440" s="7" t="s">
        <v>610</v>
      </c>
      <c r="Q440" s="8"/>
    </row>
    <row r="441" spans="1:17" ht="28" x14ac:dyDescent="0.3">
      <c r="A441" s="5">
        <v>197</v>
      </c>
      <c r="B441" s="4" t="s">
        <v>583</v>
      </c>
      <c r="C441" s="5">
        <v>0</v>
      </c>
      <c r="D441" s="5">
        <v>0</v>
      </c>
      <c r="E441" s="5">
        <v>0</v>
      </c>
      <c r="F441" s="14">
        <f t="shared" si="88"/>
        <v>0</v>
      </c>
      <c r="G441" s="5">
        <v>0</v>
      </c>
      <c r="H441" s="5">
        <v>0</v>
      </c>
      <c r="I441" s="5">
        <v>0</v>
      </c>
      <c r="J441" s="14">
        <f t="shared" si="89"/>
        <v>0</v>
      </c>
      <c r="K441" s="5">
        <v>0</v>
      </c>
      <c r="L441" s="5">
        <v>0</v>
      </c>
      <c r="M441" s="14">
        <f t="shared" si="90"/>
        <v>0</v>
      </c>
      <c r="N441" s="6">
        <f t="shared" si="91"/>
        <v>0</v>
      </c>
      <c r="O441" s="5" t="str">
        <f t="shared" si="92"/>
        <v>White</v>
      </c>
      <c r="P441" s="7" t="s">
        <v>610</v>
      </c>
      <c r="Q441" s="8"/>
    </row>
    <row r="442" spans="1:17" ht="28" x14ac:dyDescent="0.3">
      <c r="A442" s="5">
        <v>198</v>
      </c>
      <c r="B442" s="4" t="s">
        <v>584</v>
      </c>
      <c r="C442" s="5">
        <v>0</v>
      </c>
      <c r="D442" s="5">
        <v>0</v>
      </c>
      <c r="E442" s="5">
        <v>0</v>
      </c>
      <c r="F442" s="14">
        <f t="shared" si="88"/>
        <v>0</v>
      </c>
      <c r="G442" s="5">
        <v>0</v>
      </c>
      <c r="H442" s="5">
        <v>0</v>
      </c>
      <c r="I442" s="5">
        <v>0</v>
      </c>
      <c r="J442" s="14">
        <f t="shared" si="89"/>
        <v>0</v>
      </c>
      <c r="K442" s="5">
        <v>0</v>
      </c>
      <c r="L442" s="5">
        <v>0</v>
      </c>
      <c r="M442" s="14">
        <f t="shared" si="90"/>
        <v>0</v>
      </c>
      <c r="N442" s="6">
        <f t="shared" si="91"/>
        <v>0</v>
      </c>
      <c r="O442" s="5" t="str">
        <f t="shared" si="92"/>
        <v>White</v>
      </c>
      <c r="P442" s="7" t="s">
        <v>610</v>
      </c>
      <c r="Q442" s="8"/>
    </row>
    <row r="443" spans="1:17" ht="98" x14ac:dyDescent="0.3">
      <c r="A443" s="5">
        <v>199</v>
      </c>
      <c r="B443" s="4" t="s">
        <v>585</v>
      </c>
      <c r="C443" s="5">
        <v>0</v>
      </c>
      <c r="D443" s="5">
        <v>0</v>
      </c>
      <c r="E443" s="5">
        <v>0</v>
      </c>
      <c r="F443" s="14">
        <f t="shared" si="88"/>
        <v>0</v>
      </c>
      <c r="G443" s="5">
        <v>0</v>
      </c>
      <c r="H443" s="5">
        <v>0</v>
      </c>
      <c r="I443" s="5">
        <v>0</v>
      </c>
      <c r="J443" s="14">
        <f t="shared" si="89"/>
        <v>0</v>
      </c>
      <c r="K443" s="5">
        <v>0</v>
      </c>
      <c r="L443" s="5">
        <v>0</v>
      </c>
      <c r="M443" s="14">
        <f t="shared" si="90"/>
        <v>0</v>
      </c>
      <c r="N443" s="6">
        <f t="shared" si="91"/>
        <v>0</v>
      </c>
      <c r="O443" s="5" t="str">
        <f t="shared" si="92"/>
        <v>White</v>
      </c>
      <c r="P443" s="7" t="s">
        <v>610</v>
      </c>
      <c r="Q443" s="8"/>
    </row>
    <row r="444" spans="1:17" ht="42" x14ac:dyDescent="0.3">
      <c r="A444" s="5">
        <v>200</v>
      </c>
      <c r="B444" s="4" t="s">
        <v>587</v>
      </c>
      <c r="C444" s="5">
        <v>0</v>
      </c>
      <c r="D444" s="5">
        <v>0</v>
      </c>
      <c r="E444" s="5">
        <v>0</v>
      </c>
      <c r="F444" s="14">
        <f t="shared" si="88"/>
        <v>0</v>
      </c>
      <c r="G444" s="5">
        <v>0</v>
      </c>
      <c r="H444" s="5">
        <v>20</v>
      </c>
      <c r="I444" s="5">
        <v>0</v>
      </c>
      <c r="J444" s="14">
        <f t="shared" si="89"/>
        <v>20</v>
      </c>
      <c r="K444" s="5">
        <v>0</v>
      </c>
      <c r="L444" s="5">
        <v>0</v>
      </c>
      <c r="M444" s="14">
        <f t="shared" si="90"/>
        <v>0</v>
      </c>
      <c r="N444" s="6">
        <f t="shared" si="91"/>
        <v>20</v>
      </c>
      <c r="O444" s="5" t="str">
        <f t="shared" si="92"/>
        <v>White</v>
      </c>
      <c r="P444" s="7" t="s">
        <v>610</v>
      </c>
      <c r="Q444" s="8"/>
    </row>
    <row r="445" spans="1:17" ht="42" x14ac:dyDescent="0.3">
      <c r="A445" s="5">
        <v>201</v>
      </c>
      <c r="B445" s="4" t="s">
        <v>588</v>
      </c>
      <c r="C445" s="5">
        <v>0</v>
      </c>
      <c r="D445" s="5">
        <v>0</v>
      </c>
      <c r="E445" s="5">
        <v>0</v>
      </c>
      <c r="F445" s="14">
        <f t="shared" si="88"/>
        <v>0</v>
      </c>
      <c r="G445" s="5">
        <v>0</v>
      </c>
      <c r="H445" s="5">
        <v>0</v>
      </c>
      <c r="I445" s="5">
        <v>0</v>
      </c>
      <c r="J445" s="14">
        <f t="shared" si="89"/>
        <v>0</v>
      </c>
      <c r="K445" s="5">
        <v>0</v>
      </c>
      <c r="L445" s="5">
        <v>0</v>
      </c>
      <c r="M445" s="14">
        <f t="shared" si="90"/>
        <v>0</v>
      </c>
      <c r="N445" s="6">
        <f t="shared" si="91"/>
        <v>0</v>
      </c>
      <c r="O445" s="5" t="str">
        <f t="shared" si="92"/>
        <v>White</v>
      </c>
      <c r="P445" s="7" t="s">
        <v>610</v>
      </c>
      <c r="Q445" s="8"/>
    </row>
    <row r="446" spans="1:17" ht="28" x14ac:dyDescent="0.3">
      <c r="A446" s="5">
        <v>202</v>
      </c>
      <c r="B446" s="4" t="s">
        <v>589</v>
      </c>
      <c r="C446" s="5">
        <v>0</v>
      </c>
      <c r="D446" s="5">
        <v>0</v>
      </c>
      <c r="E446" s="5">
        <v>0</v>
      </c>
      <c r="F446" s="14">
        <f t="shared" si="88"/>
        <v>0</v>
      </c>
      <c r="G446" s="5">
        <v>0</v>
      </c>
      <c r="H446" s="5">
        <v>0</v>
      </c>
      <c r="I446" s="5">
        <v>0</v>
      </c>
      <c r="J446" s="14">
        <f t="shared" si="89"/>
        <v>0</v>
      </c>
      <c r="K446" s="5">
        <v>0</v>
      </c>
      <c r="L446" s="5">
        <v>0</v>
      </c>
      <c r="M446" s="14">
        <f t="shared" si="90"/>
        <v>0</v>
      </c>
      <c r="N446" s="6">
        <f t="shared" si="91"/>
        <v>0</v>
      </c>
      <c r="O446" s="5" t="str">
        <f t="shared" si="92"/>
        <v>White</v>
      </c>
      <c r="P446" s="7" t="s">
        <v>610</v>
      </c>
      <c r="Q446" s="8"/>
    </row>
    <row r="447" spans="1:17" ht="56" x14ac:dyDescent="0.3">
      <c r="A447" s="5">
        <v>203</v>
      </c>
      <c r="B447" s="4" t="s">
        <v>590</v>
      </c>
      <c r="C447" s="5">
        <v>0</v>
      </c>
      <c r="D447" s="5">
        <v>0</v>
      </c>
      <c r="E447" s="5">
        <v>0</v>
      </c>
      <c r="F447" s="14">
        <f t="shared" si="88"/>
        <v>0</v>
      </c>
      <c r="G447" s="5">
        <v>0</v>
      </c>
      <c r="H447" s="5">
        <v>0</v>
      </c>
      <c r="I447" s="5">
        <v>0</v>
      </c>
      <c r="J447" s="14">
        <f t="shared" si="89"/>
        <v>0</v>
      </c>
      <c r="K447" s="5">
        <v>0</v>
      </c>
      <c r="L447" s="5">
        <v>0</v>
      </c>
      <c r="M447" s="14">
        <f t="shared" si="90"/>
        <v>0</v>
      </c>
      <c r="N447" s="6">
        <f t="shared" si="91"/>
        <v>0</v>
      </c>
      <c r="O447" s="5" t="str">
        <f t="shared" si="92"/>
        <v>White</v>
      </c>
      <c r="P447" s="7" t="s">
        <v>610</v>
      </c>
      <c r="Q447" s="8"/>
    </row>
    <row r="448" spans="1:17" ht="42" x14ac:dyDescent="0.3">
      <c r="A448" s="5">
        <v>204</v>
      </c>
      <c r="B448" s="4" t="s">
        <v>591</v>
      </c>
      <c r="C448" s="5">
        <v>0</v>
      </c>
      <c r="D448" s="5">
        <v>0</v>
      </c>
      <c r="E448" s="5">
        <v>0</v>
      </c>
      <c r="F448" s="14">
        <f t="shared" si="88"/>
        <v>0</v>
      </c>
      <c r="G448" s="5">
        <v>0</v>
      </c>
      <c r="H448" s="5">
        <v>0</v>
      </c>
      <c r="I448" s="5">
        <v>0</v>
      </c>
      <c r="J448" s="14">
        <f t="shared" si="89"/>
        <v>0</v>
      </c>
      <c r="K448" s="5">
        <v>0</v>
      </c>
      <c r="L448" s="5">
        <v>0</v>
      </c>
      <c r="M448" s="14">
        <f t="shared" si="90"/>
        <v>0</v>
      </c>
      <c r="N448" s="6">
        <f t="shared" si="91"/>
        <v>0</v>
      </c>
      <c r="O448" s="5" t="str">
        <f t="shared" si="92"/>
        <v>White</v>
      </c>
      <c r="P448" s="7" t="s">
        <v>610</v>
      </c>
      <c r="Q448" s="8"/>
    </row>
    <row r="449" spans="1:17" ht="42" x14ac:dyDescent="0.3">
      <c r="A449" s="5">
        <v>205</v>
      </c>
      <c r="B449" s="4" t="s">
        <v>592</v>
      </c>
      <c r="C449" s="5">
        <v>0</v>
      </c>
      <c r="D449" s="5">
        <v>0</v>
      </c>
      <c r="E449" s="5">
        <v>0</v>
      </c>
      <c r="F449" s="14">
        <f t="shared" si="88"/>
        <v>0</v>
      </c>
      <c r="G449" s="5">
        <v>0</v>
      </c>
      <c r="H449" s="5">
        <v>0</v>
      </c>
      <c r="I449" s="5">
        <v>0</v>
      </c>
      <c r="J449" s="14">
        <f t="shared" si="89"/>
        <v>0</v>
      </c>
      <c r="K449" s="5">
        <v>0</v>
      </c>
      <c r="L449" s="5">
        <v>0</v>
      </c>
      <c r="M449" s="14">
        <f t="shared" si="90"/>
        <v>0</v>
      </c>
      <c r="N449" s="6">
        <f t="shared" si="91"/>
        <v>0</v>
      </c>
      <c r="O449" s="5" t="str">
        <f t="shared" si="92"/>
        <v>White</v>
      </c>
      <c r="P449" s="7" t="s">
        <v>610</v>
      </c>
      <c r="Q449" s="8"/>
    </row>
    <row r="450" spans="1:17" ht="84" x14ac:dyDescent="0.3">
      <c r="A450" s="5">
        <v>206</v>
      </c>
      <c r="B450" s="4" t="s">
        <v>593</v>
      </c>
      <c r="C450" s="5">
        <v>0</v>
      </c>
      <c r="D450" s="5">
        <v>0</v>
      </c>
      <c r="E450" s="5">
        <v>0</v>
      </c>
      <c r="F450" s="14">
        <f t="shared" si="88"/>
        <v>0</v>
      </c>
      <c r="G450" s="5">
        <v>0</v>
      </c>
      <c r="H450" s="5">
        <v>20</v>
      </c>
      <c r="I450" s="5">
        <v>0</v>
      </c>
      <c r="J450" s="14">
        <f t="shared" si="89"/>
        <v>20</v>
      </c>
      <c r="K450" s="5">
        <v>0</v>
      </c>
      <c r="L450" s="5">
        <v>0</v>
      </c>
      <c r="M450" s="14">
        <f t="shared" si="90"/>
        <v>0</v>
      </c>
      <c r="N450" s="6">
        <f t="shared" si="91"/>
        <v>20</v>
      </c>
      <c r="O450" s="5" t="str">
        <f t="shared" si="92"/>
        <v>White</v>
      </c>
      <c r="P450" s="7" t="s">
        <v>610</v>
      </c>
      <c r="Q450" s="8"/>
    </row>
    <row r="451" spans="1:17" ht="56" x14ac:dyDescent="0.3">
      <c r="A451" s="5">
        <v>207</v>
      </c>
      <c r="B451" s="4" t="s">
        <v>594</v>
      </c>
      <c r="C451" s="5">
        <v>0</v>
      </c>
      <c r="D451" s="5">
        <v>0</v>
      </c>
      <c r="E451" s="5">
        <v>0</v>
      </c>
      <c r="F451" s="14">
        <f t="shared" si="88"/>
        <v>0</v>
      </c>
      <c r="G451" s="5">
        <v>0</v>
      </c>
      <c r="H451" s="5">
        <v>0</v>
      </c>
      <c r="I451" s="5">
        <v>0</v>
      </c>
      <c r="J451" s="14">
        <f t="shared" si="89"/>
        <v>0</v>
      </c>
      <c r="K451" s="5">
        <v>0</v>
      </c>
      <c r="L451" s="5">
        <v>0</v>
      </c>
      <c r="M451" s="14">
        <f t="shared" si="90"/>
        <v>0</v>
      </c>
      <c r="N451" s="6">
        <f t="shared" si="91"/>
        <v>0</v>
      </c>
      <c r="O451" s="5" t="str">
        <f t="shared" si="92"/>
        <v>White</v>
      </c>
      <c r="P451" s="7" t="s">
        <v>610</v>
      </c>
      <c r="Q451" s="8"/>
    </row>
    <row r="452" spans="1:17" ht="42" x14ac:dyDescent="0.3">
      <c r="A452" s="5">
        <v>208</v>
      </c>
      <c r="B452" s="4" t="s">
        <v>595</v>
      </c>
      <c r="C452" s="5">
        <v>0</v>
      </c>
      <c r="D452" s="5">
        <v>0</v>
      </c>
      <c r="E452" s="5">
        <v>0</v>
      </c>
      <c r="F452" s="14">
        <f t="shared" si="88"/>
        <v>0</v>
      </c>
      <c r="G452" s="5">
        <v>0</v>
      </c>
      <c r="H452" s="5">
        <v>0</v>
      </c>
      <c r="I452" s="5">
        <v>0</v>
      </c>
      <c r="J452" s="14">
        <f t="shared" si="89"/>
        <v>0</v>
      </c>
      <c r="K452" s="5">
        <v>0</v>
      </c>
      <c r="L452" s="5">
        <v>0</v>
      </c>
      <c r="M452" s="14">
        <f t="shared" si="90"/>
        <v>0</v>
      </c>
      <c r="N452" s="6">
        <f t="shared" si="91"/>
        <v>0</v>
      </c>
      <c r="O452" s="5" t="str">
        <f t="shared" si="92"/>
        <v>White</v>
      </c>
      <c r="P452" s="7" t="s">
        <v>610</v>
      </c>
      <c r="Q452" s="8"/>
    </row>
    <row r="453" spans="1:17" ht="56" x14ac:dyDescent="0.3">
      <c r="A453" s="5">
        <v>209</v>
      </c>
      <c r="B453" s="4" t="s">
        <v>596</v>
      </c>
      <c r="C453" s="5">
        <v>0</v>
      </c>
      <c r="D453" s="5">
        <v>0</v>
      </c>
      <c r="E453" s="5">
        <v>0</v>
      </c>
      <c r="F453" s="14">
        <f t="shared" si="88"/>
        <v>0</v>
      </c>
      <c r="G453" s="5">
        <v>0</v>
      </c>
      <c r="H453" s="5">
        <v>0</v>
      </c>
      <c r="I453" s="5">
        <v>0</v>
      </c>
      <c r="J453" s="14">
        <f t="shared" si="89"/>
        <v>0</v>
      </c>
      <c r="K453" s="5">
        <v>0</v>
      </c>
      <c r="L453" s="5">
        <v>0</v>
      </c>
      <c r="M453" s="14">
        <f t="shared" si="90"/>
        <v>0</v>
      </c>
      <c r="N453" s="6">
        <f t="shared" si="91"/>
        <v>0</v>
      </c>
      <c r="O453" s="5" t="str">
        <f t="shared" si="92"/>
        <v>White</v>
      </c>
      <c r="P453" s="7" t="s">
        <v>610</v>
      </c>
      <c r="Q453" s="8"/>
    </row>
    <row r="454" spans="1:17" ht="42" x14ac:dyDescent="0.3">
      <c r="A454" s="5">
        <v>210</v>
      </c>
      <c r="B454" s="4" t="s">
        <v>597</v>
      </c>
      <c r="C454" s="5">
        <v>0</v>
      </c>
      <c r="D454" s="5">
        <v>0</v>
      </c>
      <c r="E454" s="5">
        <v>0</v>
      </c>
      <c r="F454" s="14">
        <f t="shared" si="88"/>
        <v>0</v>
      </c>
      <c r="G454" s="5">
        <v>0</v>
      </c>
      <c r="H454" s="5">
        <v>0</v>
      </c>
      <c r="I454" s="5">
        <v>0</v>
      </c>
      <c r="J454" s="14">
        <f t="shared" si="89"/>
        <v>0</v>
      </c>
      <c r="K454" s="5">
        <v>0</v>
      </c>
      <c r="L454" s="5">
        <v>0</v>
      </c>
      <c r="M454" s="14">
        <f t="shared" si="90"/>
        <v>0</v>
      </c>
      <c r="N454" s="6">
        <f t="shared" si="91"/>
        <v>0</v>
      </c>
      <c r="O454" s="5" t="str">
        <f t="shared" si="92"/>
        <v>White</v>
      </c>
      <c r="P454" s="7" t="s">
        <v>610</v>
      </c>
      <c r="Q454" s="8"/>
    </row>
    <row r="455" spans="1:17" ht="28" x14ac:dyDescent="0.3">
      <c r="A455" s="5">
        <v>211</v>
      </c>
      <c r="B455" s="4" t="s">
        <v>598</v>
      </c>
      <c r="C455" s="5">
        <v>0</v>
      </c>
      <c r="D455" s="5">
        <v>0</v>
      </c>
      <c r="E455" s="5">
        <v>0</v>
      </c>
      <c r="F455" s="14">
        <f t="shared" si="88"/>
        <v>0</v>
      </c>
      <c r="G455" s="5">
        <v>0</v>
      </c>
      <c r="H455" s="5">
        <v>0</v>
      </c>
      <c r="I455" s="5">
        <v>0</v>
      </c>
      <c r="J455" s="14">
        <f t="shared" si="89"/>
        <v>0</v>
      </c>
      <c r="K455" s="5">
        <v>0</v>
      </c>
      <c r="L455" s="5">
        <v>0</v>
      </c>
      <c r="M455" s="14">
        <f t="shared" si="90"/>
        <v>0</v>
      </c>
      <c r="N455" s="6">
        <f t="shared" si="91"/>
        <v>0</v>
      </c>
      <c r="O455" s="5" t="str">
        <f t="shared" si="92"/>
        <v>White</v>
      </c>
      <c r="P455" s="7" t="s">
        <v>610</v>
      </c>
      <c r="Q455" s="8"/>
    </row>
    <row r="456" spans="1:17" ht="42" x14ac:dyDescent="0.3">
      <c r="A456" s="5">
        <v>212</v>
      </c>
      <c r="B456" s="4" t="s">
        <v>599</v>
      </c>
      <c r="C456" s="5">
        <v>0</v>
      </c>
      <c r="D456" s="5">
        <v>0</v>
      </c>
      <c r="E456" s="5">
        <v>0</v>
      </c>
      <c r="F456" s="14">
        <f t="shared" si="88"/>
        <v>0</v>
      </c>
      <c r="G456" s="5">
        <v>0</v>
      </c>
      <c r="H456" s="5">
        <v>20</v>
      </c>
      <c r="I456" s="5">
        <v>0</v>
      </c>
      <c r="J456" s="14">
        <f t="shared" si="89"/>
        <v>20</v>
      </c>
      <c r="K456" s="5">
        <v>0</v>
      </c>
      <c r="L456" s="5">
        <v>0</v>
      </c>
      <c r="M456" s="14">
        <f t="shared" si="90"/>
        <v>0</v>
      </c>
      <c r="N456" s="6">
        <f t="shared" si="91"/>
        <v>20</v>
      </c>
      <c r="O456" s="5" t="str">
        <f t="shared" si="92"/>
        <v>White</v>
      </c>
      <c r="P456" s="7" t="s">
        <v>610</v>
      </c>
      <c r="Q456" s="8"/>
    </row>
    <row r="457" spans="1:17" ht="42" x14ac:dyDescent="0.3">
      <c r="A457" s="5">
        <v>213</v>
      </c>
      <c r="B457" s="4" t="s">
        <v>600</v>
      </c>
      <c r="C457" s="5">
        <v>0</v>
      </c>
      <c r="D457" s="5">
        <v>0</v>
      </c>
      <c r="E457" s="5">
        <v>0</v>
      </c>
      <c r="F457" s="14">
        <f t="shared" si="88"/>
        <v>0</v>
      </c>
      <c r="G457" s="5">
        <v>0</v>
      </c>
      <c r="H457" s="5">
        <v>0</v>
      </c>
      <c r="I457" s="5">
        <v>0</v>
      </c>
      <c r="J457" s="14">
        <f t="shared" si="89"/>
        <v>0</v>
      </c>
      <c r="K457" s="5">
        <v>0</v>
      </c>
      <c r="L457" s="5">
        <v>0</v>
      </c>
      <c r="M457" s="14">
        <f t="shared" si="90"/>
        <v>0</v>
      </c>
      <c r="N457" s="6">
        <f t="shared" si="91"/>
        <v>0</v>
      </c>
      <c r="O457" s="5" t="str">
        <f t="shared" si="92"/>
        <v>White</v>
      </c>
      <c r="P457" s="7" t="s">
        <v>610</v>
      </c>
      <c r="Q457" s="8"/>
    </row>
    <row r="458" spans="1:17" ht="28" x14ac:dyDescent="0.3">
      <c r="A458" s="5">
        <v>214</v>
      </c>
      <c r="B458" s="4" t="s">
        <v>601</v>
      </c>
      <c r="C458" s="5">
        <v>0</v>
      </c>
      <c r="D458" s="5">
        <v>0</v>
      </c>
      <c r="E458" s="5">
        <v>0</v>
      </c>
      <c r="F458" s="14">
        <f t="shared" si="88"/>
        <v>0</v>
      </c>
      <c r="G458" s="5">
        <v>0</v>
      </c>
      <c r="H458" s="5">
        <v>0</v>
      </c>
      <c r="I458" s="5">
        <v>10</v>
      </c>
      <c r="J458" s="14">
        <f t="shared" si="89"/>
        <v>10</v>
      </c>
      <c r="K458" s="5">
        <v>0</v>
      </c>
      <c r="L458" s="5">
        <v>0</v>
      </c>
      <c r="M458" s="14">
        <f t="shared" si="90"/>
        <v>0</v>
      </c>
      <c r="N458" s="6">
        <f t="shared" si="91"/>
        <v>10</v>
      </c>
      <c r="O458" s="5" t="str">
        <f t="shared" si="92"/>
        <v>White</v>
      </c>
      <c r="P458" s="7" t="s">
        <v>610</v>
      </c>
      <c r="Q458" s="8"/>
    </row>
    <row r="459" spans="1:17" ht="28" x14ac:dyDescent="0.3">
      <c r="A459" s="5">
        <v>215</v>
      </c>
      <c r="B459" s="4" t="s">
        <v>602</v>
      </c>
      <c r="C459" s="5">
        <v>0</v>
      </c>
      <c r="D459" s="5">
        <v>0</v>
      </c>
      <c r="E459" s="5">
        <v>0</v>
      </c>
      <c r="F459" s="14">
        <f t="shared" si="88"/>
        <v>0</v>
      </c>
      <c r="G459" s="5">
        <v>0</v>
      </c>
      <c r="H459" s="5">
        <v>0</v>
      </c>
      <c r="I459" s="5">
        <v>0</v>
      </c>
      <c r="J459" s="14">
        <f t="shared" si="89"/>
        <v>0</v>
      </c>
      <c r="K459" s="5">
        <v>0</v>
      </c>
      <c r="L459" s="5">
        <v>0</v>
      </c>
      <c r="M459" s="14">
        <f t="shared" si="90"/>
        <v>0</v>
      </c>
      <c r="N459" s="6">
        <f t="shared" si="91"/>
        <v>0</v>
      </c>
      <c r="O459" s="5" t="str">
        <f t="shared" si="92"/>
        <v>White</v>
      </c>
      <c r="P459" s="7" t="s">
        <v>610</v>
      </c>
      <c r="Q459" s="8"/>
    </row>
    <row r="460" spans="1:17" ht="28" x14ac:dyDescent="0.3">
      <c r="A460" s="5">
        <v>216</v>
      </c>
      <c r="B460" s="4" t="s">
        <v>604</v>
      </c>
      <c r="C460" s="5">
        <v>0</v>
      </c>
      <c r="D460" s="5">
        <v>0</v>
      </c>
      <c r="E460" s="5">
        <v>0</v>
      </c>
      <c r="F460" s="14">
        <f t="shared" si="88"/>
        <v>0</v>
      </c>
      <c r="G460" s="5">
        <v>0</v>
      </c>
      <c r="H460" s="5">
        <v>20</v>
      </c>
      <c r="I460" s="5">
        <v>0</v>
      </c>
      <c r="J460" s="14">
        <f t="shared" si="89"/>
        <v>20</v>
      </c>
      <c r="K460" s="5">
        <v>0</v>
      </c>
      <c r="L460" s="5">
        <v>0</v>
      </c>
      <c r="M460" s="14">
        <f t="shared" si="90"/>
        <v>0</v>
      </c>
      <c r="N460" s="6">
        <f t="shared" si="91"/>
        <v>20</v>
      </c>
      <c r="O460" s="5" t="str">
        <f t="shared" si="92"/>
        <v>White</v>
      </c>
      <c r="P460" s="7" t="s">
        <v>610</v>
      </c>
      <c r="Q460" s="8"/>
    </row>
    <row r="461" spans="1:17" ht="28" x14ac:dyDescent="0.3">
      <c r="A461" s="5">
        <v>1</v>
      </c>
      <c r="B461" s="4" t="s">
        <v>291</v>
      </c>
      <c r="C461" s="5"/>
      <c r="D461" s="5"/>
      <c r="E461" s="5"/>
      <c r="F461" s="14"/>
      <c r="G461" s="5"/>
      <c r="H461" s="5"/>
      <c r="I461" s="5"/>
      <c r="J461" s="14"/>
      <c r="K461" s="5"/>
      <c r="L461" s="5"/>
      <c r="M461" s="14"/>
      <c r="N461" s="5"/>
      <c r="O461" s="5"/>
      <c r="P461" s="5" t="s">
        <v>611</v>
      </c>
      <c r="Q461" s="8"/>
    </row>
    <row r="462" spans="1:17" ht="28" x14ac:dyDescent="0.3">
      <c r="A462" s="5">
        <v>1.1000000000000001</v>
      </c>
      <c r="B462" s="4" t="s">
        <v>317</v>
      </c>
      <c r="C462" s="5">
        <v>30</v>
      </c>
      <c r="D462" s="5">
        <v>30</v>
      </c>
      <c r="E462" s="5">
        <v>35</v>
      </c>
      <c r="F462" s="14">
        <f>C462+D462+E462</f>
        <v>95</v>
      </c>
      <c r="G462" s="5">
        <v>25</v>
      </c>
      <c r="H462" s="5">
        <v>0</v>
      </c>
      <c r="I462" s="5">
        <v>25</v>
      </c>
      <c r="J462" s="14">
        <f>G462+H462+I462</f>
        <v>50</v>
      </c>
      <c r="K462" s="5">
        <v>25</v>
      </c>
      <c r="L462" s="5">
        <v>50</v>
      </c>
      <c r="M462" s="14">
        <f>K462+L462</f>
        <v>75</v>
      </c>
      <c r="N462" s="5">
        <f>(MAX(F462,J462,M462))+((100-MAX(F462,J462,M462))*((MEDIAN(F462,J462,M462)+MIN(F462,J462,M462))/200))</f>
        <v>98.125</v>
      </c>
      <c r="O462" s="5" t="str">
        <f>IF(N462&gt;=80,"Red",IF(AND(N462&gt;=55,N462&lt;80),"Orange",IF(AND(N462&gt;=25,N462&lt;55),"Green",IF(N462&lt;25,"White"))))</f>
        <v>Red</v>
      </c>
      <c r="P462" s="5" t="s">
        <v>611</v>
      </c>
      <c r="Q462" s="8"/>
    </row>
    <row r="463" spans="1:17" ht="42" x14ac:dyDescent="0.3">
      <c r="A463" s="5">
        <v>1.2</v>
      </c>
      <c r="B463" s="4" t="s">
        <v>413</v>
      </c>
      <c r="C463" s="5">
        <v>25</v>
      </c>
      <c r="D463" s="5">
        <v>30</v>
      </c>
      <c r="E463" s="5">
        <v>30</v>
      </c>
      <c r="F463" s="14">
        <f>C463+D463+E463</f>
        <v>85</v>
      </c>
      <c r="G463" s="5">
        <v>0</v>
      </c>
      <c r="H463" s="5">
        <v>0</v>
      </c>
      <c r="I463" s="5">
        <v>0</v>
      </c>
      <c r="J463" s="14">
        <f>G463+H463+I463</f>
        <v>0</v>
      </c>
      <c r="K463" s="5">
        <v>25</v>
      </c>
      <c r="L463" s="5">
        <v>30</v>
      </c>
      <c r="M463" s="14">
        <f>K463+L463</f>
        <v>55</v>
      </c>
      <c r="N463" s="5">
        <f>(MAX(F463,J463,M463))+((100-MAX(F463,J463,M463))*((MEDIAN(F463,J463,M463)+MIN(F463,J463,M463))/200))</f>
        <v>89.125</v>
      </c>
      <c r="O463" s="5" t="str">
        <f>IF(N463&gt;=80,"Red",IF(AND(N463&gt;=55,N463&lt;80),"Orange",IF(AND(N463&gt;=25,N463&lt;55),"Green",IF(N463&lt;25,"White"))))</f>
        <v>Red</v>
      </c>
      <c r="P463" s="5" t="s">
        <v>611</v>
      </c>
      <c r="Q463" s="8"/>
    </row>
    <row r="464" spans="1:17" ht="28" x14ac:dyDescent="0.3">
      <c r="A464" s="5">
        <v>1.3</v>
      </c>
      <c r="B464" s="4" t="s">
        <v>318</v>
      </c>
      <c r="C464" s="5">
        <v>25</v>
      </c>
      <c r="D464" s="5">
        <v>30</v>
      </c>
      <c r="E464" s="5">
        <v>30</v>
      </c>
      <c r="F464" s="14">
        <f>C464+D464+E464</f>
        <v>85</v>
      </c>
      <c r="G464" s="5">
        <v>0</v>
      </c>
      <c r="H464" s="5">
        <v>0</v>
      </c>
      <c r="I464" s="5">
        <v>0</v>
      </c>
      <c r="J464" s="14">
        <f>G464+H464+I464</f>
        <v>0</v>
      </c>
      <c r="K464" s="5">
        <v>25</v>
      </c>
      <c r="L464" s="5">
        <v>20</v>
      </c>
      <c r="M464" s="14">
        <f>K464+L464</f>
        <v>45</v>
      </c>
      <c r="N464" s="5">
        <f>(MAX(F464,J464,M464))+((100-MAX(F464,J464,M464))*((MEDIAN(F464,J464,M464)+MIN(F464,J464,M464))/200))</f>
        <v>88.375</v>
      </c>
      <c r="O464" s="5" t="str">
        <f>IF(N464&gt;=80,"Red",IF(AND(N464&gt;=55,N464&lt;80),"Orange",IF(AND(N464&gt;=25,N464&lt;55),"Green",IF(N464&lt;25,"White"))))</f>
        <v>Red</v>
      </c>
      <c r="P464" s="5" t="s">
        <v>611</v>
      </c>
      <c r="Q464" s="8"/>
    </row>
    <row r="465" spans="1:17" ht="56" x14ac:dyDescent="0.3">
      <c r="A465" s="5">
        <v>3</v>
      </c>
      <c r="B465" s="4" t="s">
        <v>316</v>
      </c>
      <c r="C465" s="5">
        <v>20</v>
      </c>
      <c r="D465" s="5">
        <v>30</v>
      </c>
      <c r="E465" s="5">
        <v>35</v>
      </c>
      <c r="F465" s="14">
        <f>C465+D465+E465</f>
        <v>85</v>
      </c>
      <c r="G465" s="5">
        <v>0</v>
      </c>
      <c r="H465" s="5">
        <v>0</v>
      </c>
      <c r="I465" s="5">
        <v>0</v>
      </c>
      <c r="J465" s="14">
        <f>G465+H465+I465</f>
        <v>0</v>
      </c>
      <c r="K465" s="5">
        <v>25</v>
      </c>
      <c r="L465" s="5">
        <v>10</v>
      </c>
      <c r="M465" s="14">
        <f>K465+L465</f>
        <v>35</v>
      </c>
      <c r="N465" s="5">
        <f>(MAX(F465,J465,M465))+((100-MAX(F465,J465,M465))*((MEDIAN(F465,J465,M465)+MIN(F465,J465,M465))/200))</f>
        <v>87.625</v>
      </c>
      <c r="O465" s="5" t="str">
        <f>IF(N465&gt;=80,"Red",IF(AND(N465&gt;=55,N465&lt;80),"Orange",IF(AND(N465&gt;=25,N465&lt;55),"Green",IF(N465&lt;25,"White"))))</f>
        <v>Red</v>
      </c>
      <c r="P465" s="5" t="s">
        <v>611</v>
      </c>
      <c r="Q465" s="8" t="s">
        <v>569</v>
      </c>
    </row>
    <row r="466" spans="1:17" ht="28" x14ac:dyDescent="0.3">
      <c r="A466" s="5">
        <v>3</v>
      </c>
      <c r="B466" s="4" t="s">
        <v>292</v>
      </c>
      <c r="C466" s="5"/>
      <c r="D466" s="5"/>
      <c r="E466" s="5"/>
      <c r="F466" s="14"/>
      <c r="G466" s="5"/>
      <c r="H466" s="5"/>
      <c r="I466" s="5"/>
      <c r="J466" s="14"/>
      <c r="K466" s="5"/>
      <c r="L466" s="5"/>
      <c r="M466" s="14"/>
      <c r="N466" s="5"/>
      <c r="O466" s="5"/>
      <c r="P466" s="5" t="s">
        <v>611</v>
      </c>
      <c r="Q466" s="8"/>
    </row>
    <row r="467" spans="1:17" ht="28" x14ac:dyDescent="0.3">
      <c r="A467" s="5">
        <v>3.1</v>
      </c>
      <c r="B467" s="4" t="s">
        <v>293</v>
      </c>
      <c r="C467" s="5">
        <v>35</v>
      </c>
      <c r="D467" s="5">
        <v>30</v>
      </c>
      <c r="E467" s="5">
        <v>15</v>
      </c>
      <c r="F467" s="14">
        <f>C467+D467+E467</f>
        <v>80</v>
      </c>
      <c r="G467" s="5">
        <v>25</v>
      </c>
      <c r="H467" s="5">
        <v>25</v>
      </c>
      <c r="I467" s="5">
        <v>15</v>
      </c>
      <c r="J467" s="14">
        <f>G467+H467+I467</f>
        <v>65</v>
      </c>
      <c r="K467" s="5">
        <v>30</v>
      </c>
      <c r="L467" s="5">
        <v>70</v>
      </c>
      <c r="M467" s="14">
        <f>K467+L467</f>
        <v>100</v>
      </c>
      <c r="N467" s="5">
        <f>(MAX(F467,J467,M467))+((100-MAX(F467,J467,M467))*((MEDIAN(F467,J467,M467)+MIN(F467,J467,M467))/200))</f>
        <v>100</v>
      </c>
      <c r="O467" s="5" t="str">
        <f>IF(N467&gt;=80,"Red",IF(AND(N467&gt;=55,N467&lt;80),"Orange",IF(AND(N467&gt;=25,N467&lt;55),"Green",IF(N467&lt;25,"White"))))</f>
        <v>Red</v>
      </c>
      <c r="P467" s="5" t="s">
        <v>611</v>
      </c>
      <c r="Q467" s="8"/>
    </row>
    <row r="468" spans="1:17" ht="28" x14ac:dyDescent="0.3">
      <c r="A468" s="5">
        <v>3.2</v>
      </c>
      <c r="B468" s="4" t="s">
        <v>294</v>
      </c>
      <c r="C468" s="5">
        <v>35</v>
      </c>
      <c r="D468" s="5">
        <v>30</v>
      </c>
      <c r="E468" s="5">
        <v>15</v>
      </c>
      <c r="F468" s="14">
        <f>C468+D468+E468</f>
        <v>80</v>
      </c>
      <c r="G468" s="5">
        <v>0</v>
      </c>
      <c r="H468" s="5">
        <v>25</v>
      </c>
      <c r="I468" s="5">
        <v>0</v>
      </c>
      <c r="J468" s="14">
        <f>G468+H468+I468</f>
        <v>25</v>
      </c>
      <c r="K468" s="5">
        <v>25</v>
      </c>
      <c r="L468" s="5">
        <v>70</v>
      </c>
      <c r="M468" s="14">
        <f>K468+L468</f>
        <v>95</v>
      </c>
      <c r="N468" s="5">
        <f>(MAX(F468,J468,M468))+((100-MAX(F468,J468,M468))*((MEDIAN(F468,J468,M468)+MIN(F468,J468,M468))/200))</f>
        <v>97.625</v>
      </c>
      <c r="O468" s="5" t="str">
        <f>IF(N468&gt;=80,"Red",IF(AND(N468&gt;=55,N468&lt;80),"Orange",IF(AND(N468&gt;=25,N468&lt;55),"Green",IF(N468&lt;25,"White"))))</f>
        <v>Red</v>
      </c>
      <c r="P468" s="5" t="s">
        <v>611</v>
      </c>
      <c r="Q468" s="8"/>
    </row>
    <row r="469" spans="1:17" ht="28" x14ac:dyDescent="0.3">
      <c r="A469" s="5">
        <v>3.3</v>
      </c>
      <c r="B469" s="4" t="s">
        <v>295</v>
      </c>
      <c r="C469" s="5">
        <v>35</v>
      </c>
      <c r="D469" s="5">
        <v>30</v>
      </c>
      <c r="E469" s="5">
        <v>15</v>
      </c>
      <c r="F469" s="14">
        <f>C469+D469+E469</f>
        <v>80</v>
      </c>
      <c r="G469" s="5">
        <v>25</v>
      </c>
      <c r="H469" s="5">
        <v>25</v>
      </c>
      <c r="I469" s="5">
        <v>15</v>
      </c>
      <c r="J469" s="14">
        <f>G469+H469+I469</f>
        <v>65</v>
      </c>
      <c r="K469" s="5">
        <v>30</v>
      </c>
      <c r="L469" s="5">
        <v>70</v>
      </c>
      <c r="M469" s="14">
        <f>K469+L469</f>
        <v>100</v>
      </c>
      <c r="N469" s="5">
        <f>(MAX(F469,J469,M469))+((100-MAX(F469,J469,M469))*((MEDIAN(F469,J469,M469)+MIN(F469,J469,M469))/200))</f>
        <v>100</v>
      </c>
      <c r="O469" s="5" t="str">
        <f>IF(N469&gt;=80,"Red",IF(AND(N469&gt;=55,N469&lt;80),"Orange",IF(AND(N469&gt;=25,N469&lt;55),"Green",IF(N469&lt;25,"White"))))</f>
        <v>Red</v>
      </c>
      <c r="P469" s="5" t="s">
        <v>611</v>
      </c>
      <c r="Q469" s="8"/>
    </row>
    <row r="470" spans="1:17" ht="28" x14ac:dyDescent="0.3">
      <c r="A470" s="5">
        <v>4</v>
      </c>
      <c r="B470" s="4" t="s">
        <v>274</v>
      </c>
      <c r="C470" s="5"/>
      <c r="D470" s="5"/>
      <c r="E470" s="5"/>
      <c r="F470" s="14"/>
      <c r="G470" s="5"/>
      <c r="H470" s="5"/>
      <c r="I470" s="5"/>
      <c r="J470" s="14"/>
      <c r="K470" s="5"/>
      <c r="L470" s="5"/>
      <c r="M470" s="14"/>
      <c r="N470" s="5"/>
      <c r="O470" s="5"/>
      <c r="P470" s="5" t="s">
        <v>611</v>
      </c>
      <c r="Q470" s="8"/>
    </row>
    <row r="471" spans="1:17" ht="28" x14ac:dyDescent="0.3">
      <c r="A471" s="5">
        <v>4.0999999999999996</v>
      </c>
      <c r="B471" s="4" t="s">
        <v>275</v>
      </c>
      <c r="C471" s="5">
        <v>20</v>
      </c>
      <c r="D471" s="5">
        <v>25</v>
      </c>
      <c r="E471" s="5">
        <v>20</v>
      </c>
      <c r="F471" s="14">
        <f>C471+D471+E471</f>
        <v>65</v>
      </c>
      <c r="G471" s="5">
        <v>35</v>
      </c>
      <c r="H471" s="5">
        <v>20</v>
      </c>
      <c r="I471" s="5">
        <v>25</v>
      </c>
      <c r="J471" s="14">
        <f>G471+H471+I471</f>
        <v>80</v>
      </c>
      <c r="K471" s="5">
        <v>20</v>
      </c>
      <c r="L471" s="5">
        <v>20</v>
      </c>
      <c r="M471" s="14">
        <f>K471+L471</f>
        <v>40</v>
      </c>
      <c r="N471" s="5">
        <f>(MAX(F471,J471,M471))+((100-MAX(F471,J471,M471))*((MEDIAN(F471,J471,M471)+MIN(F471,J471,M471))/200))</f>
        <v>90.5</v>
      </c>
      <c r="O471" s="5" t="str">
        <f>IF(N471&gt;=80,"Red",IF(AND(N471&gt;=55,N471&lt;80),"Orange",IF(AND(N471&gt;=25,N471&lt;55),"Green",IF(N471&lt;25,"White"))))</f>
        <v>Red</v>
      </c>
      <c r="P471" s="5" t="s">
        <v>611</v>
      </c>
      <c r="Q471" s="8"/>
    </row>
    <row r="472" spans="1:17" ht="28" x14ac:dyDescent="0.3">
      <c r="A472" s="5">
        <v>4.2</v>
      </c>
      <c r="B472" s="4" t="s">
        <v>276</v>
      </c>
      <c r="C472" s="5">
        <v>20</v>
      </c>
      <c r="D472" s="5">
        <v>25</v>
      </c>
      <c r="E472" s="5">
        <v>20</v>
      </c>
      <c r="F472" s="14">
        <f>C472+D472+E472</f>
        <v>65</v>
      </c>
      <c r="G472" s="5">
        <v>35</v>
      </c>
      <c r="H472" s="5">
        <v>20</v>
      </c>
      <c r="I472" s="5">
        <v>10</v>
      </c>
      <c r="J472" s="14">
        <f>G472+H472+I472</f>
        <v>65</v>
      </c>
      <c r="K472" s="5">
        <v>20</v>
      </c>
      <c r="L472" s="5">
        <v>20</v>
      </c>
      <c r="M472" s="14">
        <f>K472+L472</f>
        <v>40</v>
      </c>
      <c r="N472" s="5">
        <f>(MAX(F472,J472,M472))+((100-MAX(F472,J472,M472))*((MEDIAN(F472,J472,M472)+MIN(F472,J472,M472))/200))</f>
        <v>83.375</v>
      </c>
      <c r="O472" s="5" t="str">
        <f>IF(N472&gt;=80,"Red",IF(AND(N472&gt;=55,N472&lt;80),"Orange",IF(AND(N472&gt;=25,N472&lt;55),"Green",IF(N472&lt;25,"White"))))</f>
        <v>Red</v>
      </c>
      <c r="P472" s="5" t="s">
        <v>611</v>
      </c>
      <c r="Q472" s="8"/>
    </row>
    <row r="473" spans="1:17" ht="28" x14ac:dyDescent="0.3">
      <c r="A473" s="5">
        <v>1</v>
      </c>
      <c r="B473" s="4" t="s">
        <v>461</v>
      </c>
      <c r="C473" s="5"/>
      <c r="D473" s="5"/>
      <c r="E473" s="5"/>
      <c r="F473" s="14"/>
      <c r="G473" s="5"/>
      <c r="H473" s="5"/>
      <c r="I473" s="5"/>
      <c r="J473" s="14"/>
      <c r="K473" s="5"/>
      <c r="L473" s="5"/>
      <c r="M473" s="14"/>
      <c r="N473" s="5"/>
      <c r="O473" s="5"/>
      <c r="P473" s="5" t="s">
        <v>612</v>
      </c>
      <c r="Q473" s="8"/>
    </row>
    <row r="474" spans="1:17" ht="56" x14ac:dyDescent="0.3">
      <c r="A474" s="5">
        <v>1.1000000000000001</v>
      </c>
      <c r="B474" s="4" t="s">
        <v>462</v>
      </c>
      <c r="C474" s="5">
        <v>35</v>
      </c>
      <c r="D474" s="5">
        <v>30</v>
      </c>
      <c r="E474" s="5">
        <v>15</v>
      </c>
      <c r="F474" s="14">
        <v>80</v>
      </c>
      <c r="G474" s="5">
        <v>35</v>
      </c>
      <c r="H474" s="5">
        <v>25</v>
      </c>
      <c r="I474" s="5">
        <v>0</v>
      </c>
      <c r="J474" s="14">
        <v>60</v>
      </c>
      <c r="K474" s="5">
        <v>0</v>
      </c>
      <c r="L474" s="5">
        <v>0</v>
      </c>
      <c r="M474" s="14">
        <v>0</v>
      </c>
      <c r="N474" s="5">
        <v>86</v>
      </c>
      <c r="O474" s="16" t="s">
        <v>502</v>
      </c>
      <c r="P474" s="5" t="s">
        <v>612</v>
      </c>
      <c r="Q474" s="8"/>
    </row>
    <row r="475" spans="1:17" ht="28" x14ac:dyDescent="0.3">
      <c r="A475" s="5">
        <v>1.2</v>
      </c>
      <c r="B475" s="4" t="s">
        <v>16</v>
      </c>
      <c r="C475" s="5">
        <v>0</v>
      </c>
      <c r="D475" s="5">
        <v>15</v>
      </c>
      <c r="E475" s="5">
        <v>30</v>
      </c>
      <c r="F475" s="14">
        <v>45</v>
      </c>
      <c r="G475" s="5">
        <v>35</v>
      </c>
      <c r="H475" s="5">
        <v>25</v>
      </c>
      <c r="I475" s="5">
        <v>35</v>
      </c>
      <c r="J475" s="14">
        <v>95</v>
      </c>
      <c r="K475" s="5">
        <v>10</v>
      </c>
      <c r="L475" s="5">
        <v>50</v>
      </c>
      <c r="M475" s="14">
        <v>60</v>
      </c>
      <c r="N475" s="5">
        <v>97.625</v>
      </c>
      <c r="O475" s="16" t="s">
        <v>502</v>
      </c>
      <c r="P475" s="5" t="s">
        <v>612</v>
      </c>
      <c r="Q475" s="8"/>
    </row>
    <row r="476" spans="1:17" ht="28" x14ac:dyDescent="0.3">
      <c r="A476" s="5">
        <v>1.3</v>
      </c>
      <c r="B476" s="4" t="s">
        <v>463</v>
      </c>
      <c r="C476" s="5">
        <v>35</v>
      </c>
      <c r="D476" s="5">
        <v>30</v>
      </c>
      <c r="E476" s="5">
        <v>25</v>
      </c>
      <c r="F476" s="14">
        <v>90</v>
      </c>
      <c r="G476" s="5">
        <v>35</v>
      </c>
      <c r="H476" s="5">
        <v>25</v>
      </c>
      <c r="I476" s="5">
        <v>0</v>
      </c>
      <c r="J476" s="14">
        <v>60</v>
      </c>
      <c r="K476" s="5">
        <v>0</v>
      </c>
      <c r="L476" s="5">
        <v>0</v>
      </c>
      <c r="M476" s="14">
        <v>0</v>
      </c>
      <c r="N476" s="5">
        <v>93</v>
      </c>
      <c r="O476" s="16" t="s">
        <v>502</v>
      </c>
      <c r="P476" s="5" t="s">
        <v>612</v>
      </c>
      <c r="Q476" s="8"/>
    </row>
    <row r="477" spans="1:17" ht="42" x14ac:dyDescent="0.3">
      <c r="A477" s="5">
        <v>1.4</v>
      </c>
      <c r="B477" s="4" t="s">
        <v>464</v>
      </c>
      <c r="C477" s="5">
        <v>30</v>
      </c>
      <c r="D477" s="5">
        <v>25</v>
      </c>
      <c r="E477" s="5">
        <v>25</v>
      </c>
      <c r="F477" s="14">
        <v>80</v>
      </c>
      <c r="G477" s="5">
        <v>0</v>
      </c>
      <c r="H477" s="5">
        <v>20</v>
      </c>
      <c r="I477" s="5">
        <v>0</v>
      </c>
      <c r="J477" s="14">
        <v>20</v>
      </c>
      <c r="K477" s="5">
        <v>0</v>
      </c>
      <c r="L477" s="5">
        <v>0</v>
      </c>
      <c r="M477" s="14">
        <v>0</v>
      </c>
      <c r="N477" s="5">
        <v>82</v>
      </c>
      <c r="O477" s="16" t="s">
        <v>502</v>
      </c>
      <c r="P477" s="5" t="s">
        <v>612</v>
      </c>
      <c r="Q477" s="8"/>
    </row>
    <row r="478" spans="1:17" ht="28" x14ac:dyDescent="0.3">
      <c r="A478" s="5">
        <v>1.5</v>
      </c>
      <c r="B478" s="4" t="s">
        <v>466</v>
      </c>
      <c r="C478" s="5">
        <v>30</v>
      </c>
      <c r="D478" s="5">
        <v>25</v>
      </c>
      <c r="E478" s="5">
        <v>15</v>
      </c>
      <c r="F478" s="14">
        <v>70</v>
      </c>
      <c r="G478" s="5">
        <v>0</v>
      </c>
      <c r="H478" s="5">
        <v>30</v>
      </c>
      <c r="I478" s="5">
        <v>0</v>
      </c>
      <c r="J478" s="14">
        <v>30</v>
      </c>
      <c r="K478" s="5">
        <v>0</v>
      </c>
      <c r="L478" s="5">
        <v>0</v>
      </c>
      <c r="M478" s="14">
        <v>0</v>
      </c>
      <c r="N478" s="5">
        <v>74.5</v>
      </c>
      <c r="O478" s="16" t="s">
        <v>502</v>
      </c>
      <c r="P478" s="5" t="s">
        <v>612</v>
      </c>
      <c r="Q478" s="8"/>
    </row>
    <row r="479" spans="1:17" ht="42" x14ac:dyDescent="0.3">
      <c r="A479" s="5">
        <v>1.6</v>
      </c>
      <c r="B479" s="4" t="s">
        <v>465</v>
      </c>
      <c r="C479" s="5">
        <v>20</v>
      </c>
      <c r="D479" s="5">
        <v>25</v>
      </c>
      <c r="E479" s="5">
        <v>15</v>
      </c>
      <c r="F479" s="14">
        <v>60</v>
      </c>
      <c r="G479" s="5">
        <v>0</v>
      </c>
      <c r="H479" s="5">
        <v>30</v>
      </c>
      <c r="I479" s="5">
        <v>0</v>
      </c>
      <c r="J479" s="14">
        <v>30</v>
      </c>
      <c r="K479" s="5">
        <v>0</v>
      </c>
      <c r="L479" s="5">
        <v>0</v>
      </c>
      <c r="M479" s="14">
        <v>0</v>
      </c>
      <c r="N479" s="5">
        <v>66</v>
      </c>
      <c r="O479" s="16" t="s">
        <v>502</v>
      </c>
      <c r="P479" s="5" t="s">
        <v>612</v>
      </c>
      <c r="Q479" s="8"/>
    </row>
    <row r="480" spans="1:17" ht="28" x14ac:dyDescent="0.3">
      <c r="A480" s="5">
        <v>2</v>
      </c>
      <c r="B480" s="4" t="s">
        <v>203</v>
      </c>
      <c r="C480" s="5">
        <v>10</v>
      </c>
      <c r="D480" s="5">
        <v>0</v>
      </c>
      <c r="E480" s="5">
        <v>15</v>
      </c>
      <c r="F480" s="14">
        <v>25</v>
      </c>
      <c r="G480" s="5">
        <v>25</v>
      </c>
      <c r="H480" s="5">
        <v>25</v>
      </c>
      <c r="I480" s="5">
        <v>0</v>
      </c>
      <c r="J480" s="14">
        <v>50</v>
      </c>
      <c r="K480" s="5">
        <v>0</v>
      </c>
      <c r="L480" s="5">
        <v>0</v>
      </c>
      <c r="M480" s="14">
        <v>0</v>
      </c>
      <c r="N480" s="5">
        <v>56.25</v>
      </c>
      <c r="O480" s="16" t="s">
        <v>502</v>
      </c>
      <c r="P480" s="5" t="s">
        <v>612</v>
      </c>
      <c r="Q480" s="8" t="s">
        <v>551</v>
      </c>
    </row>
    <row r="481" spans="1:17" ht="28" x14ac:dyDescent="0.3">
      <c r="A481" s="5">
        <v>3</v>
      </c>
      <c r="B481" s="4" t="s">
        <v>1108</v>
      </c>
      <c r="C481" s="5"/>
      <c r="D481" s="5"/>
      <c r="E481" s="5"/>
      <c r="F481" s="14"/>
      <c r="G481" s="5"/>
      <c r="H481" s="5"/>
      <c r="I481" s="5"/>
      <c r="J481" s="14"/>
      <c r="K481" s="5"/>
      <c r="L481" s="5"/>
      <c r="M481" s="14"/>
      <c r="N481" s="5"/>
      <c r="O481" s="5"/>
      <c r="P481" s="5" t="s">
        <v>612</v>
      </c>
      <c r="Q481" s="8"/>
    </row>
    <row r="482" spans="1:17" ht="28" x14ac:dyDescent="0.3">
      <c r="A482" s="5">
        <v>3.1</v>
      </c>
      <c r="B482" s="4" t="s">
        <v>296</v>
      </c>
      <c r="C482" s="5">
        <v>20</v>
      </c>
      <c r="D482" s="5">
        <v>0</v>
      </c>
      <c r="E482" s="5">
        <v>35</v>
      </c>
      <c r="F482" s="14">
        <v>55</v>
      </c>
      <c r="G482" s="5">
        <v>0</v>
      </c>
      <c r="H482" s="5">
        <v>20</v>
      </c>
      <c r="I482" s="5">
        <v>0</v>
      </c>
      <c r="J482" s="14">
        <v>20</v>
      </c>
      <c r="K482" s="5">
        <v>0</v>
      </c>
      <c r="L482" s="5">
        <v>0</v>
      </c>
      <c r="M482" s="14">
        <v>0</v>
      </c>
      <c r="N482" s="5">
        <v>59.5</v>
      </c>
      <c r="O482" s="16" t="s">
        <v>502</v>
      </c>
      <c r="P482" s="5" t="s">
        <v>612</v>
      </c>
      <c r="Q482" s="8"/>
    </row>
    <row r="483" spans="1:17" ht="28" x14ac:dyDescent="0.3">
      <c r="A483" s="5">
        <v>3.2</v>
      </c>
      <c r="B483" s="4" t="s">
        <v>297</v>
      </c>
      <c r="C483" s="5">
        <v>20</v>
      </c>
      <c r="D483" s="5">
        <v>0</v>
      </c>
      <c r="E483" s="5">
        <v>25</v>
      </c>
      <c r="F483" s="14">
        <v>45</v>
      </c>
      <c r="G483" s="5">
        <v>0</v>
      </c>
      <c r="H483" s="5">
        <v>20</v>
      </c>
      <c r="I483" s="5">
        <v>0</v>
      </c>
      <c r="J483" s="14">
        <v>20</v>
      </c>
      <c r="K483" s="5">
        <v>0</v>
      </c>
      <c r="L483" s="5">
        <v>0</v>
      </c>
      <c r="M483" s="14">
        <v>0</v>
      </c>
      <c r="N483" s="5">
        <v>50.5</v>
      </c>
      <c r="O483" s="16" t="s">
        <v>502</v>
      </c>
      <c r="P483" s="5" t="s">
        <v>612</v>
      </c>
      <c r="Q483" s="8"/>
    </row>
    <row r="484" spans="1:17" ht="154" x14ac:dyDescent="0.3">
      <c r="A484" s="5">
        <v>1.1000000000000001</v>
      </c>
      <c r="B484" s="4" t="s">
        <v>613</v>
      </c>
      <c r="C484" s="5">
        <v>0</v>
      </c>
      <c r="D484" s="5">
        <v>0</v>
      </c>
      <c r="E484" s="5">
        <v>0</v>
      </c>
      <c r="F484" s="14">
        <f>C484+D484+E484</f>
        <v>0</v>
      </c>
      <c r="G484" s="5">
        <v>25</v>
      </c>
      <c r="H484" s="5">
        <v>0</v>
      </c>
      <c r="I484" s="5">
        <v>25</v>
      </c>
      <c r="J484" s="14">
        <f>G484+H484+I484</f>
        <v>50</v>
      </c>
      <c r="K484" s="5">
        <v>30</v>
      </c>
      <c r="L484" s="5">
        <v>10</v>
      </c>
      <c r="M484" s="14">
        <f>K484+L484</f>
        <v>40</v>
      </c>
      <c r="N484" s="5">
        <f>(MAX(F484,J484,M484))+((100-MAX(F484,J484,M484))*((MEDIAN(F484,J484,M484)+MIN(F484,J484,M484))/200))</f>
        <v>60</v>
      </c>
      <c r="O484" s="5" t="str">
        <f>IF(N484&gt;=80,"Red",IF(AND(N484&gt;=55,N484&lt;80),"Orange",IF(AND(N484&gt;=25,N484&lt;55),"Green",IF(N484&lt;25,"White"))))</f>
        <v>Orange</v>
      </c>
      <c r="P484" s="5" t="s">
        <v>614</v>
      </c>
      <c r="Q484" s="8" t="s">
        <v>513</v>
      </c>
    </row>
    <row r="485" spans="1:17" ht="42" x14ac:dyDescent="0.3">
      <c r="A485" s="5">
        <v>1.2</v>
      </c>
      <c r="B485" s="4" t="s">
        <v>321</v>
      </c>
      <c r="C485" s="5">
        <v>0</v>
      </c>
      <c r="D485" s="5">
        <v>0</v>
      </c>
      <c r="E485" s="5">
        <v>0</v>
      </c>
      <c r="F485" s="14">
        <f>C485+D485+E485</f>
        <v>0</v>
      </c>
      <c r="G485" s="5">
        <v>25</v>
      </c>
      <c r="H485" s="5">
        <v>0</v>
      </c>
      <c r="I485" s="5">
        <v>10</v>
      </c>
      <c r="J485" s="14">
        <f>G485+H485+I485</f>
        <v>35</v>
      </c>
      <c r="K485" s="5">
        <v>30</v>
      </c>
      <c r="L485" s="5">
        <v>10</v>
      </c>
      <c r="M485" s="14">
        <f>K485+L485</f>
        <v>40</v>
      </c>
      <c r="N485" s="5">
        <f>(MAX(F485,J485,M485))+((100-MAX(F485,J485,M485))*((MEDIAN(F485,J485,M485)+MIN(F485,J485,M485))/200))</f>
        <v>50.5</v>
      </c>
      <c r="O485" s="5" t="str">
        <f>IF(N485&gt;=80,"Red",IF(AND(N485&gt;=55,N485&lt;80),"Orange",IF(AND(N485&gt;=25,N485&lt;55),"Green",IF(N485&lt;25,"White"))))</f>
        <v>Green</v>
      </c>
      <c r="P485" s="5" t="s">
        <v>614</v>
      </c>
      <c r="Q485" s="8"/>
    </row>
    <row r="486" spans="1:17" ht="70" x14ac:dyDescent="0.3">
      <c r="A486" s="5">
        <v>2</v>
      </c>
      <c r="B486" s="4" t="s">
        <v>35</v>
      </c>
      <c r="C486" s="5">
        <v>20</v>
      </c>
      <c r="D486" s="5">
        <v>0</v>
      </c>
      <c r="E486" s="5">
        <v>35</v>
      </c>
      <c r="F486" s="14">
        <f>C486+D486+E486</f>
        <v>55</v>
      </c>
      <c r="G486" s="5">
        <v>25</v>
      </c>
      <c r="H486" s="5">
        <v>0</v>
      </c>
      <c r="I486" s="5">
        <v>25</v>
      </c>
      <c r="J486" s="14">
        <f>G486+H486+I486</f>
        <v>50</v>
      </c>
      <c r="K486" s="5">
        <v>30</v>
      </c>
      <c r="L486" s="5">
        <v>10</v>
      </c>
      <c r="M486" s="14">
        <f>K486+L486</f>
        <v>40</v>
      </c>
      <c r="N486" s="5">
        <f>(MAX(F486,J486,M486))+((100-MAX(F486,J486,M486))*((MEDIAN(F486,J486,M486)+MIN(F486,J486,M486))/200))</f>
        <v>75.25</v>
      </c>
      <c r="O486" s="5" t="str">
        <f>IF(N486&gt;=80,"Red",IF(AND(N486&gt;=55,N486&lt;80),"Orange",IF(AND(N486&gt;=25,N486&lt;55),"Green",IF(N486&lt;25,"White"))))</f>
        <v>Orange</v>
      </c>
      <c r="P486" s="5" t="s">
        <v>614</v>
      </c>
      <c r="Q486" s="8" t="s">
        <v>523</v>
      </c>
    </row>
    <row r="487" spans="1:17" ht="42" x14ac:dyDescent="0.3">
      <c r="A487" s="5">
        <v>3</v>
      </c>
      <c r="B487" s="4" t="s">
        <v>479</v>
      </c>
      <c r="C487" s="5"/>
      <c r="D487" s="5"/>
      <c r="E487" s="5"/>
      <c r="F487" s="14"/>
      <c r="G487" s="5"/>
      <c r="H487" s="5"/>
      <c r="I487" s="5"/>
      <c r="J487" s="14"/>
      <c r="K487" s="5"/>
      <c r="L487" s="5"/>
      <c r="M487" s="14"/>
      <c r="N487" s="5"/>
      <c r="O487" s="5"/>
      <c r="P487" s="5" t="s">
        <v>614</v>
      </c>
      <c r="Q487" s="8"/>
    </row>
    <row r="488" spans="1:17" ht="42" x14ac:dyDescent="0.3">
      <c r="A488" s="5">
        <v>3.1</v>
      </c>
      <c r="B488" s="4" t="s">
        <v>471</v>
      </c>
      <c r="C488" s="5">
        <v>20</v>
      </c>
      <c r="D488" s="5">
        <v>0</v>
      </c>
      <c r="E488" s="5">
        <v>15</v>
      </c>
      <c r="F488" s="14">
        <f t="shared" ref="F488:F495" si="93">C488+D488+E488</f>
        <v>35</v>
      </c>
      <c r="G488" s="5">
        <v>35</v>
      </c>
      <c r="H488" s="5">
        <v>20</v>
      </c>
      <c r="I488" s="5">
        <v>25</v>
      </c>
      <c r="J488" s="14">
        <f t="shared" ref="J488:J495" si="94">G488+H488+I488</f>
        <v>80</v>
      </c>
      <c r="K488" s="5"/>
      <c r="L488" s="5"/>
      <c r="M488" s="14">
        <v>50</v>
      </c>
      <c r="N488" s="5">
        <f t="shared" ref="N488:N495" si="95">(MAX(F488,J488,M488))+((100-MAX(F488,J488,M488))*((MEDIAN(F488,J488,M488)+MIN(F488,J488,M488))/200))</f>
        <v>88.5</v>
      </c>
      <c r="O488" s="5" t="str">
        <f t="shared" ref="O488:O495" si="96">IF(N488&gt;=80,"Red",IF(AND(N488&gt;=55,N488&lt;80),"Orange",IF(AND(N488&gt;=25,N488&lt;55),"Green",IF(N488&lt;25,"White"))))</f>
        <v>Red</v>
      </c>
      <c r="P488" s="5" t="s">
        <v>614</v>
      </c>
      <c r="Q488" s="8" t="s">
        <v>525</v>
      </c>
    </row>
    <row r="489" spans="1:17" ht="42" x14ac:dyDescent="0.3">
      <c r="A489" s="5">
        <v>3.2</v>
      </c>
      <c r="B489" s="4" t="s">
        <v>472</v>
      </c>
      <c r="C489" s="5">
        <v>20</v>
      </c>
      <c r="D489" s="5">
        <v>0</v>
      </c>
      <c r="E489" s="5">
        <v>35</v>
      </c>
      <c r="F489" s="14">
        <f t="shared" si="93"/>
        <v>55</v>
      </c>
      <c r="G489" s="5">
        <v>0</v>
      </c>
      <c r="H489" s="5">
        <v>0</v>
      </c>
      <c r="I489" s="5">
        <v>0</v>
      </c>
      <c r="J489" s="14">
        <f t="shared" si="94"/>
        <v>0</v>
      </c>
      <c r="K489" s="5"/>
      <c r="L489" s="5"/>
      <c r="M489" s="14">
        <v>100</v>
      </c>
      <c r="N489" s="5">
        <f t="shared" si="95"/>
        <v>100</v>
      </c>
      <c r="O489" s="5" t="str">
        <f t="shared" si="96"/>
        <v>Red</v>
      </c>
      <c r="P489" s="5" t="s">
        <v>614</v>
      </c>
      <c r="Q489" s="8" t="s">
        <v>525</v>
      </c>
    </row>
    <row r="490" spans="1:17" ht="42" x14ac:dyDescent="0.3">
      <c r="A490" s="5">
        <v>3.3</v>
      </c>
      <c r="B490" s="4" t="s">
        <v>473</v>
      </c>
      <c r="C490" s="5">
        <v>20</v>
      </c>
      <c r="D490" s="5">
        <v>0</v>
      </c>
      <c r="E490" s="5">
        <v>30</v>
      </c>
      <c r="F490" s="14">
        <f t="shared" si="93"/>
        <v>50</v>
      </c>
      <c r="G490" s="5">
        <v>0</v>
      </c>
      <c r="H490" s="5">
        <v>0</v>
      </c>
      <c r="I490" s="5">
        <v>0</v>
      </c>
      <c r="J490" s="14">
        <f t="shared" si="94"/>
        <v>0</v>
      </c>
      <c r="K490" s="5"/>
      <c r="L490" s="5"/>
      <c r="M490" s="14">
        <v>80</v>
      </c>
      <c r="N490" s="5">
        <f t="shared" si="95"/>
        <v>85</v>
      </c>
      <c r="O490" s="5" t="str">
        <f t="shared" si="96"/>
        <v>Red</v>
      </c>
      <c r="P490" s="5" t="s">
        <v>614</v>
      </c>
      <c r="Q490" s="8" t="s">
        <v>525</v>
      </c>
    </row>
    <row r="491" spans="1:17" ht="42" x14ac:dyDescent="0.3">
      <c r="A491" s="5">
        <v>3.4</v>
      </c>
      <c r="B491" s="4" t="s">
        <v>474</v>
      </c>
      <c r="C491" s="5">
        <v>20</v>
      </c>
      <c r="D491" s="5">
        <v>0</v>
      </c>
      <c r="E491" s="5">
        <v>30</v>
      </c>
      <c r="F491" s="14">
        <f t="shared" si="93"/>
        <v>50</v>
      </c>
      <c r="G491" s="5">
        <v>0</v>
      </c>
      <c r="H491" s="5">
        <v>0</v>
      </c>
      <c r="I491" s="5">
        <v>0</v>
      </c>
      <c r="J491" s="14">
        <f t="shared" si="94"/>
        <v>0</v>
      </c>
      <c r="K491" s="5"/>
      <c r="L491" s="5"/>
      <c r="M491" s="14">
        <v>60</v>
      </c>
      <c r="N491" s="5">
        <f t="shared" si="95"/>
        <v>70</v>
      </c>
      <c r="O491" s="5" t="str">
        <f t="shared" si="96"/>
        <v>Orange</v>
      </c>
      <c r="P491" s="5" t="s">
        <v>614</v>
      </c>
      <c r="Q491" s="8" t="s">
        <v>525</v>
      </c>
    </row>
    <row r="492" spans="1:17" ht="42" x14ac:dyDescent="0.3">
      <c r="A492" s="5">
        <v>3.5</v>
      </c>
      <c r="B492" s="4" t="s">
        <v>475</v>
      </c>
      <c r="C492" s="5">
        <v>20</v>
      </c>
      <c r="D492" s="5">
        <v>0</v>
      </c>
      <c r="E492" s="5">
        <v>20</v>
      </c>
      <c r="F492" s="14">
        <f t="shared" si="93"/>
        <v>40</v>
      </c>
      <c r="G492" s="5">
        <v>0</v>
      </c>
      <c r="H492" s="5">
        <v>0</v>
      </c>
      <c r="I492" s="5">
        <v>0</v>
      </c>
      <c r="J492" s="14">
        <f t="shared" si="94"/>
        <v>0</v>
      </c>
      <c r="K492" s="5"/>
      <c r="L492" s="5"/>
      <c r="M492" s="14">
        <v>50</v>
      </c>
      <c r="N492" s="5">
        <f t="shared" si="95"/>
        <v>60</v>
      </c>
      <c r="O492" s="5" t="str">
        <f t="shared" si="96"/>
        <v>Orange</v>
      </c>
      <c r="P492" s="5" t="s">
        <v>614</v>
      </c>
      <c r="Q492" s="8" t="s">
        <v>525</v>
      </c>
    </row>
    <row r="493" spans="1:17" ht="42" x14ac:dyDescent="0.3">
      <c r="A493" s="5">
        <v>3.6</v>
      </c>
      <c r="B493" s="4" t="s">
        <v>476</v>
      </c>
      <c r="C493" s="5">
        <v>20</v>
      </c>
      <c r="D493" s="5">
        <v>0</v>
      </c>
      <c r="E493" s="5">
        <v>20</v>
      </c>
      <c r="F493" s="14">
        <f t="shared" si="93"/>
        <v>40</v>
      </c>
      <c r="G493" s="5">
        <v>0</v>
      </c>
      <c r="H493" s="5">
        <v>0</v>
      </c>
      <c r="I493" s="5">
        <v>0</v>
      </c>
      <c r="J493" s="14">
        <f t="shared" si="94"/>
        <v>0</v>
      </c>
      <c r="K493" s="5"/>
      <c r="L493" s="5"/>
      <c r="M493" s="14">
        <v>40</v>
      </c>
      <c r="N493" s="5">
        <f t="shared" si="95"/>
        <v>52</v>
      </c>
      <c r="O493" s="5" t="str">
        <f t="shared" si="96"/>
        <v>Green</v>
      </c>
      <c r="P493" s="5" t="s">
        <v>614</v>
      </c>
      <c r="Q493" s="8" t="s">
        <v>526</v>
      </c>
    </row>
    <row r="494" spans="1:17" ht="42" x14ac:dyDescent="0.3">
      <c r="A494" s="5">
        <v>3.7</v>
      </c>
      <c r="B494" s="4" t="s">
        <v>477</v>
      </c>
      <c r="C494" s="5">
        <v>20</v>
      </c>
      <c r="D494" s="5">
        <v>0</v>
      </c>
      <c r="E494" s="5">
        <v>15</v>
      </c>
      <c r="F494" s="14">
        <f t="shared" si="93"/>
        <v>35</v>
      </c>
      <c r="G494" s="5">
        <v>0</v>
      </c>
      <c r="H494" s="5">
        <v>0</v>
      </c>
      <c r="I494" s="5">
        <v>0</v>
      </c>
      <c r="J494" s="14">
        <f t="shared" si="94"/>
        <v>0</v>
      </c>
      <c r="K494" s="5"/>
      <c r="L494" s="5"/>
      <c r="M494" s="14">
        <v>30</v>
      </c>
      <c r="N494" s="5">
        <f t="shared" si="95"/>
        <v>44.75</v>
      </c>
      <c r="O494" s="5" t="str">
        <f t="shared" si="96"/>
        <v>Green</v>
      </c>
      <c r="P494" s="5" t="s">
        <v>614</v>
      </c>
      <c r="Q494" s="8" t="s">
        <v>525</v>
      </c>
    </row>
    <row r="495" spans="1:17" ht="56" x14ac:dyDescent="0.3">
      <c r="A495" s="5">
        <v>3.8</v>
      </c>
      <c r="B495" s="4" t="s">
        <v>478</v>
      </c>
      <c r="C495" s="5">
        <v>0</v>
      </c>
      <c r="D495" s="5">
        <v>0</v>
      </c>
      <c r="E495" s="5">
        <v>0</v>
      </c>
      <c r="F495" s="14">
        <f t="shared" si="93"/>
        <v>0</v>
      </c>
      <c r="G495" s="5">
        <v>0</v>
      </c>
      <c r="H495" s="5">
        <v>0</v>
      </c>
      <c r="I495" s="5">
        <v>0</v>
      </c>
      <c r="J495" s="14">
        <f t="shared" si="94"/>
        <v>0</v>
      </c>
      <c r="K495" s="5"/>
      <c r="L495" s="5"/>
      <c r="M495" s="14">
        <v>25</v>
      </c>
      <c r="N495" s="5">
        <f t="shared" si="95"/>
        <v>25</v>
      </c>
      <c r="O495" s="5" t="str">
        <f t="shared" si="96"/>
        <v>Green</v>
      </c>
      <c r="P495" s="5" t="s">
        <v>614</v>
      </c>
      <c r="Q495" s="8" t="s">
        <v>524</v>
      </c>
    </row>
    <row r="496" spans="1:17" ht="42" x14ac:dyDescent="0.3">
      <c r="A496" s="5">
        <v>4</v>
      </c>
      <c r="B496" s="4" t="s">
        <v>346</v>
      </c>
      <c r="C496" s="5"/>
      <c r="D496" s="5"/>
      <c r="E496" s="5"/>
      <c r="F496" s="14"/>
      <c r="G496" s="5"/>
      <c r="H496" s="5"/>
      <c r="I496" s="5"/>
      <c r="J496" s="14"/>
      <c r="K496" s="5"/>
      <c r="L496" s="5"/>
      <c r="M496" s="14"/>
      <c r="N496" s="5"/>
      <c r="O496" s="5"/>
      <c r="P496" s="5" t="s">
        <v>614</v>
      </c>
      <c r="Q496" s="8"/>
    </row>
    <row r="497" spans="1:17" ht="42" x14ac:dyDescent="0.3">
      <c r="A497" s="5">
        <v>4.0999999999999996</v>
      </c>
      <c r="B497" s="4" t="s">
        <v>332</v>
      </c>
      <c r="C497" s="5">
        <v>20</v>
      </c>
      <c r="D497" s="5">
        <v>25</v>
      </c>
      <c r="E497" s="5">
        <v>30</v>
      </c>
      <c r="F497" s="14">
        <f>C497+D497+E497</f>
        <v>75</v>
      </c>
      <c r="G497" s="5">
        <v>25</v>
      </c>
      <c r="H497" s="5">
        <v>0</v>
      </c>
      <c r="I497" s="5">
        <v>25</v>
      </c>
      <c r="J497" s="14">
        <f>G497+H497+I497</f>
        <v>50</v>
      </c>
      <c r="K497" s="5">
        <v>0</v>
      </c>
      <c r="L497" s="5">
        <v>0</v>
      </c>
      <c r="M497" s="14">
        <f>K497+L497</f>
        <v>0</v>
      </c>
      <c r="N497" s="5">
        <f>(MAX(F497,J497,M497))+((100-MAX(F497,J497,M497))*((MEDIAN(F497,J497,M497)+MIN(F497,J497,M497))/200))</f>
        <v>81.25</v>
      </c>
      <c r="O497" s="5" t="str">
        <f>IF(N497&gt;=80,"Red",IF(AND(N497&gt;=55,N497&lt;80),"Orange",IF(AND(N497&gt;=25,N497&lt;55),"Green",IF(N497&lt;25,"White"))))</f>
        <v>Red</v>
      </c>
      <c r="P497" s="5" t="s">
        <v>614</v>
      </c>
      <c r="Q497" s="8"/>
    </row>
    <row r="498" spans="1:17" ht="42" x14ac:dyDescent="0.3">
      <c r="A498" s="5">
        <v>4.2</v>
      </c>
      <c r="B498" s="4" t="s">
        <v>333</v>
      </c>
      <c r="C498" s="5">
        <v>20</v>
      </c>
      <c r="D498" s="5">
        <v>25</v>
      </c>
      <c r="E498" s="5">
        <v>30</v>
      </c>
      <c r="F498" s="14">
        <f>C498+D498+E498</f>
        <v>75</v>
      </c>
      <c r="G498" s="5">
        <v>25</v>
      </c>
      <c r="H498" s="5">
        <v>0</v>
      </c>
      <c r="I498" s="5">
        <v>10</v>
      </c>
      <c r="J498" s="14">
        <f>G498+H498+I498</f>
        <v>35</v>
      </c>
      <c r="K498" s="5">
        <v>0</v>
      </c>
      <c r="L498" s="5">
        <v>0</v>
      </c>
      <c r="M498" s="14">
        <f>K498+L498</f>
        <v>0</v>
      </c>
      <c r="N498" s="5">
        <f>(MAX(F498,J498,M498))+((100-MAX(F498,J498,M498))*((MEDIAN(F498,J498,M498)+MIN(F498,J498,M498))/200))</f>
        <v>79.375</v>
      </c>
      <c r="O498" s="5" t="str">
        <f>IF(N498&gt;=80,"Red",IF(AND(N498&gt;=55,N498&lt;80),"Orange",IF(AND(N498&gt;=25,N498&lt;55),"Green",IF(N498&lt;25,"White"))))</f>
        <v>Orange</v>
      </c>
      <c r="P498" s="5" t="s">
        <v>614</v>
      </c>
      <c r="Q498" s="8"/>
    </row>
    <row r="499" spans="1:17" ht="42" x14ac:dyDescent="0.3">
      <c r="A499" s="5">
        <v>4.3</v>
      </c>
      <c r="B499" s="4" t="s">
        <v>330</v>
      </c>
      <c r="C499" s="5">
        <v>20</v>
      </c>
      <c r="D499" s="5">
        <v>25</v>
      </c>
      <c r="E499" s="5">
        <v>20</v>
      </c>
      <c r="F499" s="14">
        <f>C499+D499+E499</f>
        <v>65</v>
      </c>
      <c r="G499" s="5">
        <v>25</v>
      </c>
      <c r="H499" s="5">
        <v>0</v>
      </c>
      <c r="I499" s="5">
        <v>25</v>
      </c>
      <c r="J499" s="14">
        <f>G499+H499+I499</f>
        <v>50</v>
      </c>
      <c r="K499" s="5">
        <v>0</v>
      </c>
      <c r="L499" s="5">
        <v>0</v>
      </c>
      <c r="M499" s="14">
        <f>K499+L499</f>
        <v>0</v>
      </c>
      <c r="N499" s="5">
        <f>(MAX(F499,J499,M499))+((100-MAX(F499,J499,M499))*((MEDIAN(F499,J499,M499)+MIN(F499,J499,M499))/200))</f>
        <v>73.75</v>
      </c>
      <c r="O499" s="5" t="str">
        <f>IF(N499&gt;=80,"Red",IF(AND(N499&gt;=55,N499&lt;80),"Orange",IF(AND(N499&gt;=25,N499&lt;55),"Green",IF(N499&lt;25,"White"))))</f>
        <v>Orange</v>
      </c>
      <c r="P499" s="5" t="s">
        <v>614</v>
      </c>
      <c r="Q499" s="8"/>
    </row>
    <row r="500" spans="1:17" ht="42" x14ac:dyDescent="0.3">
      <c r="A500" s="5">
        <v>4.4000000000000004</v>
      </c>
      <c r="B500" s="4" t="s">
        <v>331</v>
      </c>
      <c r="C500" s="5">
        <v>10</v>
      </c>
      <c r="D500" s="5">
        <v>25</v>
      </c>
      <c r="E500" s="5">
        <v>15</v>
      </c>
      <c r="F500" s="14">
        <f>C500+D500+E500</f>
        <v>50</v>
      </c>
      <c r="G500" s="5">
        <v>0</v>
      </c>
      <c r="H500" s="5">
        <v>0</v>
      </c>
      <c r="I500" s="5">
        <v>10</v>
      </c>
      <c r="J500" s="14">
        <f>G500+H500+I500</f>
        <v>10</v>
      </c>
      <c r="K500" s="5">
        <v>0</v>
      </c>
      <c r="L500" s="5">
        <v>0</v>
      </c>
      <c r="M500" s="14">
        <f>K500+L500</f>
        <v>0</v>
      </c>
      <c r="N500" s="5">
        <f>(MAX(F500,J500,M500))+((100-MAX(F500,J500,M500))*((MEDIAN(F500,J500,M500)+MIN(F500,J500,M500))/200))</f>
        <v>52.5</v>
      </c>
      <c r="O500" s="5" t="str">
        <f>IF(N500&gt;=80,"Red",IF(AND(N500&gt;=55,N500&lt;80),"Orange",IF(AND(N500&gt;=25,N500&lt;55),"Green",IF(N500&lt;25,"White"))))</f>
        <v>Green</v>
      </c>
      <c r="P500" s="5" t="s">
        <v>614</v>
      </c>
      <c r="Q500" s="8"/>
    </row>
    <row r="501" spans="1:17" ht="42" x14ac:dyDescent="0.3">
      <c r="A501" s="5">
        <v>5</v>
      </c>
      <c r="B501" s="4" t="s">
        <v>58</v>
      </c>
      <c r="C501" s="5"/>
      <c r="D501" s="5"/>
      <c r="E501" s="5"/>
      <c r="F501" s="14"/>
      <c r="G501" s="5"/>
      <c r="H501" s="5"/>
      <c r="I501" s="5"/>
      <c r="J501" s="14"/>
      <c r="K501" s="5"/>
      <c r="L501" s="5"/>
      <c r="M501" s="14"/>
      <c r="N501" s="5"/>
      <c r="O501" s="5"/>
      <c r="P501" s="5" t="s">
        <v>614</v>
      </c>
      <c r="Q501" s="8"/>
    </row>
    <row r="502" spans="1:17" ht="56" x14ac:dyDescent="0.3">
      <c r="A502" s="5">
        <v>5.0999999999999996</v>
      </c>
      <c r="B502" s="4" t="s">
        <v>352</v>
      </c>
      <c r="C502" s="5">
        <v>20</v>
      </c>
      <c r="D502" s="5">
        <v>25</v>
      </c>
      <c r="E502" s="5">
        <v>25</v>
      </c>
      <c r="F502" s="14">
        <f>C502+D502+E502</f>
        <v>70</v>
      </c>
      <c r="G502" s="5">
        <v>30</v>
      </c>
      <c r="H502" s="5">
        <v>25</v>
      </c>
      <c r="I502" s="5">
        <v>0</v>
      </c>
      <c r="J502" s="14">
        <f>G502+H502+I502</f>
        <v>55</v>
      </c>
      <c r="K502" s="5">
        <v>30</v>
      </c>
      <c r="L502" s="5">
        <v>10</v>
      </c>
      <c r="M502" s="14">
        <f>K502+L502</f>
        <v>40</v>
      </c>
      <c r="N502" s="5">
        <f>(MAX(F502,J502,M502))+((100-MAX(F502,J502,M502))*((MEDIAN(F502,J502,M502)+MIN(F502,J502,M502))/200))</f>
        <v>84.25</v>
      </c>
      <c r="O502" s="5" t="str">
        <f>IF(N502&gt;=80,"Red",IF(AND(N502&gt;=55,N502&lt;80),"Orange",IF(AND(N502&gt;=25,N502&lt;55),"Green",IF(N502&lt;25,"White"))))</f>
        <v>Red</v>
      </c>
      <c r="P502" s="5" t="s">
        <v>614</v>
      </c>
      <c r="Q502" s="8"/>
    </row>
    <row r="503" spans="1:17" ht="56" x14ac:dyDescent="0.3">
      <c r="A503" s="5">
        <v>5.2</v>
      </c>
      <c r="B503" s="4" t="s">
        <v>351</v>
      </c>
      <c r="C503" s="5">
        <v>20</v>
      </c>
      <c r="D503" s="5">
        <v>25</v>
      </c>
      <c r="E503" s="5">
        <v>15</v>
      </c>
      <c r="F503" s="14">
        <f>C503+D503+E503</f>
        <v>60</v>
      </c>
      <c r="G503" s="5">
        <v>30</v>
      </c>
      <c r="H503" s="5">
        <v>25</v>
      </c>
      <c r="I503" s="5">
        <v>0</v>
      </c>
      <c r="J503" s="14">
        <f>G503+H503+I503</f>
        <v>55</v>
      </c>
      <c r="K503" s="5">
        <v>30</v>
      </c>
      <c r="L503" s="5">
        <v>10</v>
      </c>
      <c r="M503" s="14">
        <f>K503+L503</f>
        <v>40</v>
      </c>
      <c r="N503" s="5">
        <f>(MAX(F503,J503,M503))+((100-MAX(F503,J503,M503))*((MEDIAN(F503,J503,M503)+MIN(F503,J503,M503))/200))</f>
        <v>79</v>
      </c>
      <c r="O503" s="5" t="str">
        <f>IF(N503&gt;=80,"Red",IF(AND(N503&gt;=55,N503&lt;80),"Orange",IF(AND(N503&gt;=25,N503&lt;55),"Green",IF(N503&lt;25,"White"))))</f>
        <v>Orange</v>
      </c>
      <c r="P503" s="5" t="s">
        <v>614</v>
      </c>
      <c r="Q503" s="8"/>
    </row>
    <row r="504" spans="1:17" ht="42" x14ac:dyDescent="0.3">
      <c r="A504" s="5">
        <v>6</v>
      </c>
      <c r="B504" s="4" t="s">
        <v>112</v>
      </c>
      <c r="C504" s="5"/>
      <c r="D504" s="5"/>
      <c r="E504" s="5"/>
      <c r="F504" s="14"/>
      <c r="G504" s="5"/>
      <c r="H504" s="5"/>
      <c r="I504" s="5"/>
      <c r="J504" s="14"/>
      <c r="K504" s="5"/>
      <c r="L504" s="5"/>
      <c r="M504" s="14"/>
      <c r="N504" s="5"/>
      <c r="O504" s="5"/>
      <c r="P504" s="5" t="s">
        <v>614</v>
      </c>
      <c r="Q504" s="8"/>
    </row>
    <row r="505" spans="1:17" ht="84" x14ac:dyDescent="0.3">
      <c r="A505" s="5">
        <v>6.1</v>
      </c>
      <c r="B505" s="4" t="s">
        <v>609</v>
      </c>
      <c r="C505" s="5">
        <v>20</v>
      </c>
      <c r="D505" s="5">
        <v>0</v>
      </c>
      <c r="E505" s="5">
        <v>35</v>
      </c>
      <c r="F505" s="14">
        <f>C505+D505+E505</f>
        <v>55</v>
      </c>
      <c r="G505" s="5">
        <v>25</v>
      </c>
      <c r="H505" s="5">
        <v>0</v>
      </c>
      <c r="I505" s="5">
        <v>25</v>
      </c>
      <c r="J505" s="14">
        <f>G505+H505+I505</f>
        <v>50</v>
      </c>
      <c r="K505" s="5">
        <v>30</v>
      </c>
      <c r="L505" s="5">
        <v>10</v>
      </c>
      <c r="M505" s="14">
        <f>K505+L505</f>
        <v>40</v>
      </c>
      <c r="N505" s="5">
        <f>(MAX(F505,J505,M505))+((100-MAX(F505,J505,M505))*((MEDIAN(F505,J505,M505)+MIN(F505,J505,M505))/200))</f>
        <v>75.25</v>
      </c>
      <c r="O505" s="5" t="str">
        <f>IF(N505&gt;=80,"Red",IF(AND(N505&gt;=55,N505&lt;80),"Orange",IF(AND(N505&gt;=25,N505&lt;55),"Green",IF(N505&lt;25,"White"))))</f>
        <v>Orange</v>
      </c>
      <c r="P505" s="5" t="s">
        <v>614</v>
      </c>
      <c r="Q505" s="8" t="s">
        <v>532</v>
      </c>
    </row>
    <row r="506" spans="1:17" ht="56" x14ac:dyDescent="0.3">
      <c r="A506" s="5">
        <v>6.2</v>
      </c>
      <c r="B506" s="4" t="s">
        <v>335</v>
      </c>
      <c r="C506" s="5">
        <v>20</v>
      </c>
      <c r="D506" s="5">
        <v>0</v>
      </c>
      <c r="E506" s="5">
        <v>15</v>
      </c>
      <c r="F506" s="14">
        <f>C506+D506+E506</f>
        <v>35</v>
      </c>
      <c r="G506" s="5">
        <v>0</v>
      </c>
      <c r="H506" s="5">
        <v>0</v>
      </c>
      <c r="I506" s="5">
        <v>0</v>
      </c>
      <c r="J506" s="14">
        <f>G506+H506+I506</f>
        <v>0</v>
      </c>
      <c r="K506" s="5">
        <v>0</v>
      </c>
      <c r="L506" s="5">
        <v>0</v>
      </c>
      <c r="M506" s="14">
        <f>K506+L506</f>
        <v>0</v>
      </c>
      <c r="N506" s="5">
        <f>(MAX(F506,J506,M506))+((100-MAX(F506,J506,M506))*((MEDIAN(F506,J506,M506)+MIN(F506,J506,M506))/200))</f>
        <v>35</v>
      </c>
      <c r="O506" s="5" t="str">
        <f>IF(N506&gt;=80,"Red",IF(AND(N506&gt;=55,N506&lt;80),"Orange",IF(AND(N506&gt;=25,N506&lt;55),"Green",IF(N506&lt;25,"White"))))</f>
        <v>Green</v>
      </c>
      <c r="P506" s="5" t="s">
        <v>614</v>
      </c>
      <c r="Q506" s="8" t="s">
        <v>533</v>
      </c>
    </row>
    <row r="507" spans="1:17" ht="42" x14ac:dyDescent="0.3">
      <c r="A507" s="5">
        <v>7</v>
      </c>
      <c r="B507" s="4" t="s">
        <v>616</v>
      </c>
      <c r="C507" s="5"/>
      <c r="D507" s="5"/>
      <c r="E507" s="5"/>
      <c r="F507" s="14"/>
      <c r="G507" s="5"/>
      <c r="H507" s="5"/>
      <c r="I507" s="5"/>
      <c r="J507" s="14"/>
      <c r="K507" s="5"/>
      <c r="L507" s="5"/>
      <c r="M507" s="14"/>
      <c r="N507" s="5"/>
      <c r="O507" s="5"/>
      <c r="P507" s="5" t="s">
        <v>614</v>
      </c>
      <c r="Q507" s="8"/>
    </row>
    <row r="508" spans="1:17" ht="42" x14ac:dyDescent="0.3">
      <c r="A508" s="5">
        <v>7.1</v>
      </c>
      <c r="B508" s="4" t="s">
        <v>239</v>
      </c>
      <c r="C508" s="5">
        <v>0</v>
      </c>
      <c r="D508" s="5">
        <v>0</v>
      </c>
      <c r="E508" s="5">
        <v>0</v>
      </c>
      <c r="F508" s="14">
        <f>C508+D508+E508</f>
        <v>0</v>
      </c>
      <c r="G508" s="5">
        <v>0</v>
      </c>
      <c r="H508" s="5">
        <v>25</v>
      </c>
      <c r="I508" s="5">
        <v>0</v>
      </c>
      <c r="J508" s="14">
        <f>G508+H508+I508</f>
        <v>25</v>
      </c>
      <c r="K508" s="5">
        <v>0</v>
      </c>
      <c r="L508" s="5">
        <v>0</v>
      </c>
      <c r="M508" s="14">
        <f>K508+L508</f>
        <v>0</v>
      </c>
      <c r="N508" s="5">
        <f>(MAX(F508,J508,M508))+((100-MAX(F508,J508,M508))*((MEDIAN(F508,J508,M508)+MIN(F508,J508,M508))/200))</f>
        <v>25</v>
      </c>
      <c r="O508" s="5" t="str">
        <f>IF(N508&gt;=80,"Red",IF(AND(N508&gt;=55,N508&lt;80),"Orange",IF(AND(N508&gt;=25,N508&lt;55),"Green",IF(N508&lt;25,"White"))))</f>
        <v>Green</v>
      </c>
      <c r="P508" s="5" t="s">
        <v>614</v>
      </c>
      <c r="Q508" s="8" t="s">
        <v>534</v>
      </c>
    </row>
    <row r="509" spans="1:17" ht="42" x14ac:dyDescent="0.3">
      <c r="A509" s="5">
        <v>7.2</v>
      </c>
      <c r="B509" s="4" t="s">
        <v>458</v>
      </c>
      <c r="C509" s="5">
        <v>0</v>
      </c>
      <c r="D509" s="5">
        <v>0</v>
      </c>
      <c r="E509" s="5">
        <v>0</v>
      </c>
      <c r="F509" s="14">
        <f>C509+D509+E509</f>
        <v>0</v>
      </c>
      <c r="G509" s="5">
        <v>0</v>
      </c>
      <c r="H509" s="5">
        <v>0</v>
      </c>
      <c r="I509" s="5">
        <v>0</v>
      </c>
      <c r="J509" s="14">
        <f>G509+H509+I509</f>
        <v>0</v>
      </c>
      <c r="K509" s="5">
        <v>0</v>
      </c>
      <c r="L509" s="5">
        <v>0</v>
      </c>
      <c r="M509" s="14">
        <f>K509+L509</f>
        <v>0</v>
      </c>
      <c r="N509" s="5">
        <f>(MAX(F509,J509,M509))+((100-MAX(F509,J509,M509))*((MEDIAN(F509,J509,M509)+MIN(F509,J509,M509))/200))</f>
        <v>0</v>
      </c>
      <c r="O509" s="5" t="str">
        <f>IF(N509&gt;=80,"Red",IF(AND(N509&gt;=55,N509&lt;80),"Orange",IF(AND(N509&gt;=25,N509&lt;55),"Green",IF(N509&lt;25,"White"))))</f>
        <v>White</v>
      </c>
      <c r="P509" s="5" t="s">
        <v>614</v>
      </c>
      <c r="Q509" s="8" t="s">
        <v>534</v>
      </c>
    </row>
    <row r="510" spans="1:17" ht="42" x14ac:dyDescent="0.3">
      <c r="A510" s="5">
        <v>8</v>
      </c>
      <c r="B510" s="4" t="s">
        <v>71</v>
      </c>
      <c r="C510" s="5"/>
      <c r="D510" s="5"/>
      <c r="E510" s="5"/>
      <c r="F510" s="14"/>
      <c r="G510" s="5"/>
      <c r="H510" s="5"/>
      <c r="I510" s="5"/>
      <c r="J510" s="14"/>
      <c r="K510" s="5"/>
      <c r="L510" s="5"/>
      <c r="M510" s="14"/>
      <c r="N510" s="5"/>
      <c r="O510" s="5"/>
      <c r="P510" s="5" t="s">
        <v>614</v>
      </c>
      <c r="Q510" s="8"/>
    </row>
    <row r="511" spans="1:17" ht="42" x14ac:dyDescent="0.3">
      <c r="A511" s="5">
        <v>8.1</v>
      </c>
      <c r="B511" s="4" t="s">
        <v>72</v>
      </c>
      <c r="C511" s="5">
        <v>20</v>
      </c>
      <c r="D511" s="5">
        <v>30</v>
      </c>
      <c r="E511" s="5">
        <v>25</v>
      </c>
      <c r="F511" s="14">
        <f>C511+D511+E511</f>
        <v>75</v>
      </c>
      <c r="G511" s="5">
        <v>0</v>
      </c>
      <c r="H511" s="5">
        <v>25</v>
      </c>
      <c r="I511" s="5">
        <v>0</v>
      </c>
      <c r="J511" s="14">
        <f>G511+H511+I511</f>
        <v>25</v>
      </c>
      <c r="K511" s="5">
        <v>30</v>
      </c>
      <c r="L511" s="5">
        <v>20</v>
      </c>
      <c r="M511" s="14">
        <f>K511+L511</f>
        <v>50</v>
      </c>
      <c r="N511" s="5">
        <f>(MAX(F511,J511,M511))+((100-MAX(F511,J511,M511))*((MEDIAN(F511,J511,M511)+MIN(F511,J511,M511))/200))</f>
        <v>84.375</v>
      </c>
      <c r="O511" s="5" t="str">
        <f>IF(N511&gt;=80,"Red",IF(AND(N511&gt;=55,N511&lt;80),"Orange",IF(AND(N511&gt;=25,N511&lt;55),"Green",IF(N511&lt;25,"White"))))</f>
        <v>Red</v>
      </c>
      <c r="P511" s="5" t="s">
        <v>614</v>
      </c>
      <c r="Q511" s="8"/>
    </row>
    <row r="512" spans="1:17" ht="42" x14ac:dyDescent="0.3">
      <c r="A512" s="5">
        <v>8.1999999999999993</v>
      </c>
      <c r="B512" s="4" t="s">
        <v>337</v>
      </c>
      <c r="C512" s="5">
        <v>20</v>
      </c>
      <c r="D512" s="5">
        <v>25</v>
      </c>
      <c r="E512" s="5">
        <v>20</v>
      </c>
      <c r="F512" s="14">
        <f>C512+D512+E512</f>
        <v>65</v>
      </c>
      <c r="G512" s="5">
        <v>0</v>
      </c>
      <c r="H512" s="5">
        <v>25</v>
      </c>
      <c r="I512" s="5">
        <v>0</v>
      </c>
      <c r="J512" s="14">
        <f>G512+H512+I512</f>
        <v>25</v>
      </c>
      <c r="K512" s="5">
        <v>30</v>
      </c>
      <c r="L512" s="5">
        <v>10</v>
      </c>
      <c r="M512" s="14">
        <f>K512+L512</f>
        <v>40</v>
      </c>
      <c r="N512" s="5">
        <f>(MAX(F512,J512,M512))+((100-MAX(F512,J512,M512))*((MEDIAN(F512,J512,M512)+MIN(F512,J512,M512))/200))</f>
        <v>76.375</v>
      </c>
      <c r="O512" s="5" t="str">
        <f>IF(N512&gt;=80,"Red",IF(AND(N512&gt;=55,N512&lt;80),"Orange",IF(AND(N512&gt;=25,N512&lt;55),"Green",IF(N512&lt;25,"White"))))</f>
        <v>Orange</v>
      </c>
      <c r="P512" s="5" t="s">
        <v>614</v>
      </c>
      <c r="Q512" s="8"/>
    </row>
    <row r="513" spans="1:17" ht="42" x14ac:dyDescent="0.3">
      <c r="A513" s="5">
        <v>9</v>
      </c>
      <c r="B513" s="4" t="s">
        <v>345</v>
      </c>
      <c r="C513" s="5">
        <v>20</v>
      </c>
      <c r="D513" s="5">
        <v>25</v>
      </c>
      <c r="E513" s="5">
        <v>20</v>
      </c>
      <c r="F513" s="14">
        <f>C513+D513+E513</f>
        <v>65</v>
      </c>
      <c r="G513" s="5">
        <v>20</v>
      </c>
      <c r="H513" s="5">
        <v>0</v>
      </c>
      <c r="I513" s="5">
        <v>0</v>
      </c>
      <c r="J513" s="14">
        <f>G513+H513+I513</f>
        <v>20</v>
      </c>
      <c r="K513" s="5">
        <v>30</v>
      </c>
      <c r="L513" s="5">
        <v>10</v>
      </c>
      <c r="M513" s="14">
        <f>K513+L513</f>
        <v>40</v>
      </c>
      <c r="N513" s="5">
        <f>(MAX(F513,J513,M513))+((100-MAX(F513,J513,M513))*((MEDIAN(F513,J513,M513)+MIN(F513,J513,M513))/200))</f>
        <v>75.5</v>
      </c>
      <c r="O513" s="5" t="str">
        <f>IF(N513&gt;=80,"Red",IF(AND(N513&gt;=55,N513&lt;80),"Orange",IF(AND(N513&gt;=25,N513&lt;55),"Green",IF(N513&lt;25,"White"))))</f>
        <v>Orange</v>
      </c>
      <c r="P513" s="5" t="s">
        <v>614</v>
      </c>
      <c r="Q513" s="8"/>
    </row>
    <row r="514" spans="1:17" ht="42" x14ac:dyDescent="0.3">
      <c r="A514" s="5">
        <v>10</v>
      </c>
      <c r="B514" s="4" t="s">
        <v>135</v>
      </c>
      <c r="C514" s="5"/>
      <c r="D514" s="5"/>
      <c r="E514" s="5"/>
      <c r="F514" s="14"/>
      <c r="G514" s="5"/>
      <c r="H514" s="5"/>
      <c r="I514" s="5"/>
      <c r="J514" s="14"/>
      <c r="K514" s="5"/>
      <c r="L514" s="5"/>
      <c r="M514" s="14"/>
      <c r="N514" s="5"/>
      <c r="O514" s="5"/>
      <c r="P514" s="5" t="s">
        <v>614</v>
      </c>
      <c r="Q514" s="8"/>
    </row>
    <row r="515" spans="1:17" ht="224" x14ac:dyDescent="0.3">
      <c r="A515" s="5">
        <v>10.1</v>
      </c>
      <c r="B515" s="4" t="s">
        <v>136</v>
      </c>
      <c r="C515" s="5">
        <v>20</v>
      </c>
      <c r="D515" s="5">
        <v>0</v>
      </c>
      <c r="E515" s="5">
        <v>25</v>
      </c>
      <c r="F515" s="14">
        <f>C515+D515+E515</f>
        <v>45</v>
      </c>
      <c r="G515" s="5">
        <v>25</v>
      </c>
      <c r="H515" s="5">
        <v>0</v>
      </c>
      <c r="I515" s="5">
        <v>25</v>
      </c>
      <c r="J515" s="14">
        <f>G515+H515+I515</f>
        <v>50</v>
      </c>
      <c r="K515" s="5">
        <v>0</v>
      </c>
      <c r="L515" s="5">
        <v>0</v>
      </c>
      <c r="M515" s="14">
        <f>K515+L515</f>
        <v>0</v>
      </c>
      <c r="N515" s="5">
        <f>(MAX(F515,J515,M515))+((100-MAX(F515,J515,M515))*((MEDIAN(F515,J515,M515)+MIN(F515,J515,M515))/200))</f>
        <v>61.25</v>
      </c>
      <c r="O515" s="5" t="str">
        <f>IF(N515&gt;=80,"Red",IF(AND(N515&gt;=55,N515&lt;80),"Orange",IF(AND(N515&gt;=25,N515&lt;55),"Green",IF(N515&lt;25,"White"))))</f>
        <v>Orange</v>
      </c>
      <c r="P515" s="5" t="s">
        <v>614</v>
      </c>
      <c r="Q515" s="8" t="s">
        <v>540</v>
      </c>
    </row>
    <row r="516" spans="1:17" ht="224" x14ac:dyDescent="0.3">
      <c r="A516" s="5">
        <v>10.199999999999999</v>
      </c>
      <c r="B516" s="4" t="s">
        <v>137</v>
      </c>
      <c r="C516" s="5">
        <v>20</v>
      </c>
      <c r="D516" s="5">
        <v>0</v>
      </c>
      <c r="E516" s="5">
        <v>20</v>
      </c>
      <c r="F516" s="14">
        <f>C516+D516+E516</f>
        <v>40</v>
      </c>
      <c r="G516" s="5">
        <v>0</v>
      </c>
      <c r="H516" s="5">
        <v>0</v>
      </c>
      <c r="I516" s="5">
        <v>0</v>
      </c>
      <c r="J516" s="14">
        <f>G516+H516+I516</f>
        <v>0</v>
      </c>
      <c r="K516" s="5">
        <v>0</v>
      </c>
      <c r="L516" s="5">
        <v>0</v>
      </c>
      <c r="M516" s="14">
        <v>0</v>
      </c>
      <c r="N516" s="5">
        <f>(MAX(F516,J516,M516))+((100-MAX(F516,J516,M516))*((MEDIAN(F516,J516,M516)+MIN(F516,J516,M516))/200))</f>
        <v>40</v>
      </c>
      <c r="O516" s="5" t="str">
        <f>IF(N516&gt;=80,"Red",IF(AND(N516&gt;=55,N516&lt;80),"Orange",IF(AND(N516&gt;=25,N516&lt;55),"Green",IF(N516&lt;25,"White"))))</f>
        <v>Green</v>
      </c>
      <c r="P516" s="5" t="s">
        <v>614</v>
      </c>
      <c r="Q516" s="8" t="s">
        <v>540</v>
      </c>
    </row>
    <row r="517" spans="1:17" ht="42" x14ac:dyDescent="0.3">
      <c r="A517" s="5">
        <v>11</v>
      </c>
      <c r="B517" s="4" t="s">
        <v>367</v>
      </c>
      <c r="C517" s="5">
        <v>20</v>
      </c>
      <c r="D517" s="5">
        <v>0</v>
      </c>
      <c r="E517" s="5">
        <v>20</v>
      </c>
      <c r="F517" s="14">
        <f>C517+D517+E517</f>
        <v>40</v>
      </c>
      <c r="G517" s="5">
        <v>25</v>
      </c>
      <c r="H517" s="5">
        <v>0</v>
      </c>
      <c r="I517" s="5">
        <v>25</v>
      </c>
      <c r="J517" s="14">
        <f>G517+H517+I517</f>
        <v>50</v>
      </c>
      <c r="K517" s="5">
        <v>0</v>
      </c>
      <c r="L517" s="5">
        <v>0</v>
      </c>
      <c r="M517" s="14">
        <f>K517+L517</f>
        <v>0</v>
      </c>
      <c r="N517" s="5">
        <f>(MAX(F517,J517,M517))+((100-MAX(F517,J517,M517))*((MEDIAN(F517,J517,M517)+MIN(F517,J517,M517))/200))</f>
        <v>60</v>
      </c>
      <c r="O517" s="5" t="str">
        <f>IF(N517&gt;=80,"Red",IF(AND(N517&gt;=55,N517&lt;80),"Orange",IF(AND(N517&gt;=25,N517&lt;55),"Green",IF(N517&lt;25,"White"))))</f>
        <v>Orange</v>
      </c>
      <c r="P517" s="5" t="s">
        <v>614</v>
      </c>
      <c r="Q517" s="8"/>
    </row>
    <row r="518" spans="1:17" ht="56" x14ac:dyDescent="0.3">
      <c r="A518" s="5">
        <v>12</v>
      </c>
      <c r="B518" s="4" t="s">
        <v>165</v>
      </c>
      <c r="C518" s="5">
        <v>0</v>
      </c>
      <c r="D518" s="5">
        <v>0</v>
      </c>
      <c r="E518" s="5">
        <v>0</v>
      </c>
      <c r="F518" s="14">
        <f>C518+D518+E518</f>
        <v>0</v>
      </c>
      <c r="G518" s="5">
        <v>25</v>
      </c>
      <c r="H518" s="5">
        <v>25</v>
      </c>
      <c r="I518" s="5">
        <v>25</v>
      </c>
      <c r="J518" s="14">
        <f>G518+H518+I518</f>
        <v>75</v>
      </c>
      <c r="K518" s="5">
        <v>0</v>
      </c>
      <c r="L518" s="5">
        <v>0</v>
      </c>
      <c r="M518" s="14">
        <f>K518+L518</f>
        <v>0</v>
      </c>
      <c r="N518" s="5">
        <f>(MAX(F518,J518,M518))+((100-MAX(F518,J518,M518))*((MEDIAN(F518,J518,M518)+MIN(F518,J518,M518))/200))</f>
        <v>75</v>
      </c>
      <c r="O518" s="5" t="str">
        <f>IF(N518&gt;=80,"Red",IF(AND(N518&gt;=55,N518&lt;80),"Orange",IF(AND(N518&gt;=25,N518&lt;55),"Green",IF(N518&lt;25,"White"))))</f>
        <v>Orange</v>
      </c>
      <c r="P518" s="5" t="s">
        <v>614</v>
      </c>
      <c r="Q518" s="8" t="s">
        <v>544</v>
      </c>
    </row>
    <row r="519" spans="1:17" ht="42" x14ac:dyDescent="0.3">
      <c r="A519" s="5">
        <v>13</v>
      </c>
      <c r="B519" s="4" t="s">
        <v>200</v>
      </c>
      <c r="C519" s="5"/>
      <c r="D519" s="5"/>
      <c r="E519" s="5"/>
      <c r="F519" s="14"/>
      <c r="G519" s="5"/>
      <c r="H519" s="5"/>
      <c r="I519" s="5"/>
      <c r="J519" s="14"/>
      <c r="K519" s="5"/>
      <c r="L519" s="5"/>
      <c r="M519" s="14"/>
      <c r="N519" s="5"/>
      <c r="O519" s="5"/>
      <c r="P519" s="5" t="s">
        <v>614</v>
      </c>
      <c r="Q519" s="8"/>
    </row>
    <row r="520" spans="1:17" ht="42" x14ac:dyDescent="0.3">
      <c r="A520" s="5">
        <v>13.1</v>
      </c>
      <c r="B520" s="4" t="s">
        <v>201</v>
      </c>
      <c r="C520" s="5">
        <v>30</v>
      </c>
      <c r="D520" s="5">
        <v>25</v>
      </c>
      <c r="E520" s="5">
        <v>25</v>
      </c>
      <c r="F520" s="14">
        <f t="shared" ref="F520:F530" si="97">C520+D520+E520</f>
        <v>80</v>
      </c>
      <c r="G520" s="5">
        <v>0</v>
      </c>
      <c r="H520" s="5">
        <v>20</v>
      </c>
      <c r="I520" s="5">
        <v>0</v>
      </c>
      <c r="J520" s="14">
        <f t="shared" ref="J520:J530" si="98">G520+H520+I520</f>
        <v>20</v>
      </c>
      <c r="K520" s="5">
        <v>0</v>
      </c>
      <c r="L520" s="5">
        <v>0</v>
      </c>
      <c r="M520" s="14">
        <f t="shared" ref="M520:M530" si="99">K520+L520</f>
        <v>0</v>
      </c>
      <c r="N520" s="5">
        <f t="shared" ref="N520:N530" si="100">(MAX(F520,J520,M520))+((100-MAX(F520,J520,M520))*((MEDIAN(F520,J520,M520)+MIN(F520,J520,M520))/200))</f>
        <v>82</v>
      </c>
      <c r="O520" s="5" t="str">
        <f t="shared" ref="O520:O530" si="101">IF(N520&gt;=80,"Red",IF(AND(N520&gt;=55,N520&lt;80),"Orange",IF(AND(N520&gt;=25,N520&lt;55),"Green",IF(N520&lt;25,"White"))))</f>
        <v>Red</v>
      </c>
      <c r="P520" s="5" t="s">
        <v>614</v>
      </c>
      <c r="Q520" s="8" t="s">
        <v>550</v>
      </c>
    </row>
    <row r="521" spans="1:17" ht="42" x14ac:dyDescent="0.3">
      <c r="A521" s="5">
        <v>13.2</v>
      </c>
      <c r="B521" s="4" t="s">
        <v>202</v>
      </c>
      <c r="C521" s="5">
        <v>30</v>
      </c>
      <c r="D521" s="5">
        <v>25</v>
      </c>
      <c r="E521" s="5">
        <v>20</v>
      </c>
      <c r="F521" s="14">
        <f t="shared" si="97"/>
        <v>75</v>
      </c>
      <c r="G521" s="5">
        <v>0</v>
      </c>
      <c r="H521" s="5">
        <v>20</v>
      </c>
      <c r="I521" s="5">
        <v>0</v>
      </c>
      <c r="J521" s="14">
        <f t="shared" si="98"/>
        <v>20</v>
      </c>
      <c r="K521" s="5">
        <v>0</v>
      </c>
      <c r="L521" s="5">
        <v>0</v>
      </c>
      <c r="M521" s="14">
        <f t="shared" si="99"/>
        <v>0</v>
      </c>
      <c r="N521" s="5">
        <f t="shared" si="100"/>
        <v>77.5</v>
      </c>
      <c r="O521" s="5" t="str">
        <f t="shared" si="101"/>
        <v>Orange</v>
      </c>
      <c r="P521" s="5" t="s">
        <v>614</v>
      </c>
      <c r="Q521" s="8" t="s">
        <v>550</v>
      </c>
    </row>
    <row r="522" spans="1:17" ht="42" x14ac:dyDescent="0.3">
      <c r="A522" s="5">
        <v>13.3</v>
      </c>
      <c r="B522" s="4" t="s">
        <v>395</v>
      </c>
      <c r="C522" s="5">
        <v>30</v>
      </c>
      <c r="D522" s="5">
        <v>25</v>
      </c>
      <c r="E522" s="5">
        <v>15</v>
      </c>
      <c r="F522" s="14">
        <f t="shared" si="97"/>
        <v>70</v>
      </c>
      <c r="G522" s="5">
        <v>0</v>
      </c>
      <c r="H522" s="5">
        <v>20</v>
      </c>
      <c r="I522" s="5">
        <v>0</v>
      </c>
      <c r="J522" s="14">
        <f t="shared" si="98"/>
        <v>20</v>
      </c>
      <c r="K522" s="5">
        <v>0</v>
      </c>
      <c r="L522" s="5">
        <v>0</v>
      </c>
      <c r="M522" s="14">
        <f t="shared" si="99"/>
        <v>0</v>
      </c>
      <c r="N522" s="5">
        <f t="shared" si="100"/>
        <v>73</v>
      </c>
      <c r="O522" s="5" t="str">
        <f t="shared" si="101"/>
        <v>Orange</v>
      </c>
      <c r="P522" s="5" t="s">
        <v>614</v>
      </c>
      <c r="Q522" s="8" t="s">
        <v>550</v>
      </c>
    </row>
    <row r="523" spans="1:17" ht="98" x14ac:dyDescent="0.3">
      <c r="A523" s="5">
        <v>14</v>
      </c>
      <c r="B523" s="4" t="s">
        <v>204</v>
      </c>
      <c r="C523" s="5">
        <v>0</v>
      </c>
      <c r="D523" s="5">
        <v>0</v>
      </c>
      <c r="E523" s="5">
        <v>0</v>
      </c>
      <c r="F523" s="14">
        <f t="shared" si="97"/>
        <v>0</v>
      </c>
      <c r="G523" s="5">
        <v>0</v>
      </c>
      <c r="H523" s="5">
        <v>0</v>
      </c>
      <c r="I523" s="5">
        <v>0</v>
      </c>
      <c r="J523" s="14">
        <f t="shared" si="98"/>
        <v>0</v>
      </c>
      <c r="K523" s="5">
        <v>10</v>
      </c>
      <c r="L523" s="5">
        <v>10</v>
      </c>
      <c r="M523" s="14">
        <f t="shared" si="99"/>
        <v>20</v>
      </c>
      <c r="N523" s="5">
        <f t="shared" si="100"/>
        <v>20</v>
      </c>
      <c r="O523" s="5" t="str">
        <f t="shared" si="101"/>
        <v>White</v>
      </c>
      <c r="P523" s="5" t="s">
        <v>614</v>
      </c>
      <c r="Q523" s="8" t="s">
        <v>552</v>
      </c>
    </row>
    <row r="524" spans="1:17" ht="42" x14ac:dyDescent="0.3">
      <c r="A524" s="5">
        <v>15</v>
      </c>
      <c r="B524" s="4" t="s">
        <v>215</v>
      </c>
      <c r="C524" s="5">
        <v>0</v>
      </c>
      <c r="D524" s="5">
        <v>0</v>
      </c>
      <c r="E524" s="5">
        <v>0</v>
      </c>
      <c r="F524" s="14">
        <f t="shared" si="97"/>
        <v>0</v>
      </c>
      <c r="G524" s="5">
        <v>0</v>
      </c>
      <c r="H524" s="5">
        <v>25</v>
      </c>
      <c r="I524" s="5">
        <v>0</v>
      </c>
      <c r="J524" s="14">
        <f t="shared" si="98"/>
        <v>25</v>
      </c>
      <c r="K524" s="5">
        <v>0</v>
      </c>
      <c r="L524" s="5">
        <v>0</v>
      </c>
      <c r="M524" s="14">
        <f t="shared" si="99"/>
        <v>0</v>
      </c>
      <c r="N524" s="5">
        <f t="shared" si="100"/>
        <v>25</v>
      </c>
      <c r="O524" s="5" t="str">
        <f t="shared" si="101"/>
        <v>Green</v>
      </c>
      <c r="P524" s="5" t="s">
        <v>614</v>
      </c>
      <c r="Q524" s="8"/>
    </row>
    <row r="525" spans="1:17" ht="42" x14ac:dyDescent="0.3">
      <c r="A525" s="5">
        <v>16</v>
      </c>
      <c r="B525" s="4" t="s">
        <v>238</v>
      </c>
      <c r="C525" s="5">
        <v>0</v>
      </c>
      <c r="D525" s="5">
        <v>0</v>
      </c>
      <c r="E525" s="5">
        <v>0</v>
      </c>
      <c r="F525" s="14">
        <f t="shared" si="97"/>
        <v>0</v>
      </c>
      <c r="G525" s="5">
        <v>0</v>
      </c>
      <c r="H525" s="5">
        <v>25</v>
      </c>
      <c r="I525" s="5">
        <v>0</v>
      </c>
      <c r="J525" s="14">
        <f t="shared" si="98"/>
        <v>25</v>
      </c>
      <c r="K525" s="5">
        <v>0</v>
      </c>
      <c r="L525" s="5">
        <v>0</v>
      </c>
      <c r="M525" s="14">
        <f t="shared" si="99"/>
        <v>0</v>
      </c>
      <c r="N525" s="5">
        <f t="shared" si="100"/>
        <v>25</v>
      </c>
      <c r="O525" s="5" t="str">
        <f t="shared" si="101"/>
        <v>Green</v>
      </c>
      <c r="P525" s="5" t="s">
        <v>614</v>
      </c>
      <c r="Q525" s="8"/>
    </row>
    <row r="526" spans="1:17" ht="84" x14ac:dyDescent="0.3">
      <c r="A526" s="5">
        <v>17</v>
      </c>
      <c r="B526" s="4" t="s">
        <v>467</v>
      </c>
      <c r="C526" s="5">
        <v>0</v>
      </c>
      <c r="D526" s="5">
        <v>0</v>
      </c>
      <c r="E526" s="5">
        <v>0</v>
      </c>
      <c r="F526" s="14">
        <f t="shared" si="97"/>
        <v>0</v>
      </c>
      <c r="G526" s="5">
        <v>25</v>
      </c>
      <c r="H526" s="5">
        <v>0</v>
      </c>
      <c r="I526" s="5">
        <v>10</v>
      </c>
      <c r="J526" s="14">
        <f t="shared" si="98"/>
        <v>35</v>
      </c>
      <c r="K526" s="5">
        <v>0</v>
      </c>
      <c r="L526" s="5">
        <v>0</v>
      </c>
      <c r="M526" s="14">
        <f t="shared" si="99"/>
        <v>0</v>
      </c>
      <c r="N526" s="5">
        <f t="shared" si="100"/>
        <v>35</v>
      </c>
      <c r="O526" s="5" t="str">
        <f t="shared" si="101"/>
        <v>Green</v>
      </c>
      <c r="P526" s="5" t="s">
        <v>614</v>
      </c>
      <c r="Q526" s="8"/>
    </row>
    <row r="527" spans="1:17" ht="42" x14ac:dyDescent="0.3">
      <c r="A527" s="5">
        <v>18</v>
      </c>
      <c r="B527" s="4" t="s">
        <v>243</v>
      </c>
      <c r="C527" s="5">
        <v>20</v>
      </c>
      <c r="D527" s="5">
        <v>0</v>
      </c>
      <c r="E527" s="5">
        <v>15</v>
      </c>
      <c r="F527" s="14">
        <f t="shared" si="97"/>
        <v>35</v>
      </c>
      <c r="G527" s="5">
        <v>0</v>
      </c>
      <c r="H527" s="5">
        <v>20</v>
      </c>
      <c r="I527" s="5">
        <v>0</v>
      </c>
      <c r="J527" s="14">
        <f t="shared" si="98"/>
        <v>20</v>
      </c>
      <c r="K527" s="5">
        <v>0</v>
      </c>
      <c r="L527" s="5">
        <v>0</v>
      </c>
      <c r="M527" s="14">
        <f t="shared" si="99"/>
        <v>0</v>
      </c>
      <c r="N527" s="5">
        <f t="shared" si="100"/>
        <v>41.5</v>
      </c>
      <c r="O527" s="5" t="str">
        <f t="shared" si="101"/>
        <v>Green</v>
      </c>
      <c r="P527" s="5" t="s">
        <v>614</v>
      </c>
      <c r="Q527" s="8"/>
    </row>
    <row r="528" spans="1:17" ht="42" x14ac:dyDescent="0.3">
      <c r="A528" s="5">
        <v>19</v>
      </c>
      <c r="B528" s="4" t="s">
        <v>273</v>
      </c>
      <c r="C528" s="5">
        <v>0</v>
      </c>
      <c r="D528" s="5">
        <v>0</v>
      </c>
      <c r="E528" s="5">
        <v>0</v>
      </c>
      <c r="F528" s="14">
        <f t="shared" si="97"/>
        <v>0</v>
      </c>
      <c r="G528" s="5">
        <v>0</v>
      </c>
      <c r="H528" s="5">
        <v>20</v>
      </c>
      <c r="I528" s="5">
        <v>0</v>
      </c>
      <c r="J528" s="14">
        <f t="shared" si="98"/>
        <v>20</v>
      </c>
      <c r="K528" s="5">
        <v>0</v>
      </c>
      <c r="L528" s="5">
        <v>0</v>
      </c>
      <c r="M528" s="14">
        <f t="shared" si="99"/>
        <v>0</v>
      </c>
      <c r="N528" s="5">
        <f t="shared" si="100"/>
        <v>20</v>
      </c>
      <c r="O528" s="5" t="str">
        <f t="shared" si="101"/>
        <v>White</v>
      </c>
      <c r="P528" s="5" t="s">
        <v>614</v>
      </c>
      <c r="Q528" s="8"/>
    </row>
    <row r="529" spans="1:17" ht="42" x14ac:dyDescent="0.3">
      <c r="A529" s="5">
        <v>20</v>
      </c>
      <c r="B529" s="4" t="s">
        <v>586</v>
      </c>
      <c r="C529" s="5">
        <v>0</v>
      </c>
      <c r="D529" s="5">
        <v>0</v>
      </c>
      <c r="E529" s="5">
        <v>0</v>
      </c>
      <c r="F529" s="14">
        <f t="shared" si="97"/>
        <v>0</v>
      </c>
      <c r="G529" s="5">
        <v>15</v>
      </c>
      <c r="H529" s="5">
        <v>0</v>
      </c>
      <c r="I529" s="5">
        <v>0</v>
      </c>
      <c r="J529" s="14">
        <f t="shared" si="98"/>
        <v>15</v>
      </c>
      <c r="K529" s="5">
        <v>0</v>
      </c>
      <c r="L529" s="5">
        <v>0</v>
      </c>
      <c r="M529" s="14">
        <f t="shared" si="99"/>
        <v>0</v>
      </c>
      <c r="N529" s="5">
        <f t="shared" si="100"/>
        <v>15</v>
      </c>
      <c r="O529" s="5" t="str">
        <f t="shared" si="101"/>
        <v>White</v>
      </c>
      <c r="P529" s="5" t="s">
        <v>614</v>
      </c>
      <c r="Q529" s="8"/>
    </row>
    <row r="530" spans="1:17" ht="42" x14ac:dyDescent="0.3">
      <c r="A530" s="5">
        <v>21</v>
      </c>
      <c r="B530" s="4" t="s">
        <v>603</v>
      </c>
      <c r="C530" s="5">
        <v>0</v>
      </c>
      <c r="D530" s="5">
        <v>0</v>
      </c>
      <c r="E530" s="5">
        <v>10</v>
      </c>
      <c r="F530" s="14">
        <f t="shared" si="97"/>
        <v>10</v>
      </c>
      <c r="G530" s="5">
        <v>0</v>
      </c>
      <c r="H530" s="5">
        <v>0</v>
      </c>
      <c r="I530" s="5">
        <v>10</v>
      </c>
      <c r="J530" s="14">
        <f t="shared" si="98"/>
        <v>10</v>
      </c>
      <c r="K530" s="5">
        <v>0</v>
      </c>
      <c r="L530" s="5">
        <v>0</v>
      </c>
      <c r="M530" s="14">
        <f t="shared" si="99"/>
        <v>0</v>
      </c>
      <c r="N530" s="5">
        <f t="shared" si="100"/>
        <v>14.5</v>
      </c>
      <c r="O530" s="5" t="str">
        <f t="shared" si="101"/>
        <v>White</v>
      </c>
      <c r="P530" s="5" t="s">
        <v>614</v>
      </c>
      <c r="Q530" s="8"/>
    </row>
    <row r="531" spans="1:17" ht="42" x14ac:dyDescent="0.3">
      <c r="A531" s="5">
        <v>1</v>
      </c>
      <c r="B531" s="4" t="s">
        <v>307</v>
      </c>
      <c r="C531" s="5"/>
      <c r="D531" s="5"/>
      <c r="E531" s="5"/>
      <c r="F531" s="14"/>
      <c r="G531" s="5"/>
      <c r="H531" s="5"/>
      <c r="I531" s="5"/>
      <c r="J531" s="14"/>
      <c r="K531" s="5"/>
      <c r="L531" s="5"/>
      <c r="M531" s="14"/>
      <c r="N531" s="5"/>
      <c r="O531" s="5"/>
      <c r="P531" s="5" t="s">
        <v>615</v>
      </c>
      <c r="Q531" s="8"/>
    </row>
    <row r="532" spans="1:17" ht="42" x14ac:dyDescent="0.3">
      <c r="A532" s="5">
        <v>1.1000000000000001</v>
      </c>
      <c r="B532" s="4" t="s">
        <v>306</v>
      </c>
      <c r="C532" s="5"/>
      <c r="D532" s="5"/>
      <c r="E532" s="5"/>
      <c r="F532" s="14"/>
      <c r="G532" s="5"/>
      <c r="H532" s="5"/>
      <c r="I532" s="5"/>
      <c r="J532" s="14"/>
      <c r="K532" s="5"/>
      <c r="L532" s="5"/>
      <c r="M532" s="14"/>
      <c r="N532" s="5">
        <v>90</v>
      </c>
      <c r="O532" s="5" t="s">
        <v>9</v>
      </c>
      <c r="P532" s="5" t="s">
        <v>615</v>
      </c>
      <c r="Q532" s="8" t="s">
        <v>570</v>
      </c>
    </row>
    <row r="533" spans="1:17" ht="42" x14ac:dyDescent="0.3">
      <c r="A533" s="5">
        <v>1.2</v>
      </c>
      <c r="B533" s="4" t="s">
        <v>505</v>
      </c>
      <c r="C533" s="5"/>
      <c r="D533" s="5"/>
      <c r="E533" s="5"/>
      <c r="F533" s="14"/>
      <c r="G533" s="5"/>
      <c r="H533" s="5"/>
      <c r="I533" s="5"/>
      <c r="J533" s="14"/>
      <c r="K533" s="5"/>
      <c r="L533" s="5"/>
      <c r="M533" s="14"/>
      <c r="N533" s="5">
        <v>67.5</v>
      </c>
      <c r="O533" s="5" t="s">
        <v>10</v>
      </c>
      <c r="P533" s="5" t="s">
        <v>615</v>
      </c>
      <c r="Q533" s="8" t="s">
        <v>571</v>
      </c>
    </row>
    <row r="534" spans="1:17" ht="42" x14ac:dyDescent="0.3">
      <c r="A534" s="5">
        <v>1.3</v>
      </c>
      <c r="B534" s="4" t="s">
        <v>305</v>
      </c>
      <c r="C534" s="5"/>
      <c r="D534" s="5"/>
      <c r="E534" s="5"/>
      <c r="F534" s="14"/>
      <c r="G534" s="5"/>
      <c r="H534" s="5"/>
      <c r="I534" s="5"/>
      <c r="J534" s="14"/>
      <c r="K534" s="5"/>
      <c r="L534" s="5"/>
      <c r="M534" s="14"/>
      <c r="N534" s="5">
        <v>12.5</v>
      </c>
      <c r="O534" s="5" t="s">
        <v>199</v>
      </c>
      <c r="P534" s="5" t="s">
        <v>615</v>
      </c>
      <c r="Q534" s="8" t="s">
        <v>572</v>
      </c>
    </row>
    <row r="535" spans="1:17" ht="42" x14ac:dyDescent="0.3">
      <c r="A535" s="5">
        <v>2</v>
      </c>
      <c r="B535" s="4" t="s">
        <v>279</v>
      </c>
      <c r="C535" s="5"/>
      <c r="D535" s="5"/>
      <c r="E535" s="5"/>
      <c r="F535" s="14"/>
      <c r="G535" s="5"/>
      <c r="H535" s="5"/>
      <c r="I535" s="5"/>
      <c r="J535" s="14"/>
      <c r="K535" s="5"/>
      <c r="L535" s="5"/>
      <c r="M535" s="14"/>
      <c r="N535" s="5"/>
      <c r="O535" s="5"/>
      <c r="P535" s="5" t="s">
        <v>615</v>
      </c>
      <c r="Q535" s="8"/>
    </row>
    <row r="536" spans="1:17" ht="224" x14ac:dyDescent="0.3">
      <c r="A536" s="5">
        <v>2.1</v>
      </c>
      <c r="B536" s="4" t="s">
        <v>605</v>
      </c>
      <c r="C536" s="5"/>
      <c r="D536" s="5"/>
      <c r="E536" s="5"/>
      <c r="F536" s="14"/>
      <c r="G536" s="5"/>
      <c r="H536" s="5"/>
      <c r="I536" s="5"/>
      <c r="J536" s="14"/>
      <c r="K536" s="5"/>
      <c r="L536" s="5"/>
      <c r="M536" s="14"/>
      <c r="N536" s="5">
        <v>90</v>
      </c>
      <c r="O536" s="5" t="s">
        <v>9</v>
      </c>
      <c r="P536" s="5" t="s">
        <v>615</v>
      </c>
      <c r="Q536" s="8" t="s">
        <v>573</v>
      </c>
    </row>
    <row r="537" spans="1:17" ht="224" x14ac:dyDescent="0.3">
      <c r="A537" s="5">
        <v>2.2000000000000002</v>
      </c>
      <c r="B537" s="4" t="s">
        <v>280</v>
      </c>
      <c r="C537" s="5"/>
      <c r="D537" s="5"/>
      <c r="E537" s="5"/>
      <c r="F537" s="14"/>
      <c r="G537" s="5"/>
      <c r="H537" s="5"/>
      <c r="I537" s="5"/>
      <c r="J537" s="14"/>
      <c r="K537" s="5"/>
      <c r="L537" s="5"/>
      <c r="M537" s="14"/>
      <c r="N537" s="5">
        <v>67.5</v>
      </c>
      <c r="O537" s="5" t="s">
        <v>10</v>
      </c>
      <c r="P537" s="5" t="s">
        <v>615</v>
      </c>
      <c r="Q537" s="8" t="s">
        <v>573</v>
      </c>
    </row>
  </sheetData>
  <autoFilter ref="A1:Q537" xr:uid="{FCCED0A9-BE48-482E-A130-8D2277E66635}"/>
  <conditionalFormatting sqref="A1 Q1 O1:P305">
    <cfRule type="cellIs" dxfId="14" priority="22" operator="equal">
      <formula>"Green"</formula>
    </cfRule>
    <cfRule type="cellIs" dxfId="13" priority="23" operator="equal">
      <formula>"Orange"</formula>
    </cfRule>
    <cfRule type="cellIs" dxfId="12" priority="24" operator="equal">
      <formula>"Red"</formula>
    </cfRule>
  </conditionalFormatting>
  <conditionalFormatting sqref="O307:P409">
    <cfRule type="cellIs" dxfId="11" priority="19" operator="equal">
      <formula>"Green"</formula>
    </cfRule>
    <cfRule type="cellIs" dxfId="10" priority="20" operator="equal">
      <formula>"Orange"</formula>
    </cfRule>
    <cfRule type="cellIs" dxfId="9" priority="21" operator="equal">
      <formula>"Red"</formula>
    </cfRule>
  </conditionalFormatting>
  <conditionalFormatting sqref="O411:P425">
    <cfRule type="cellIs" dxfId="8" priority="28" operator="equal">
      <formula>"Red"</formula>
    </cfRule>
    <cfRule type="cellIs" dxfId="7" priority="29" operator="equal">
      <formula>"Green"</formula>
    </cfRule>
    <cfRule type="cellIs" dxfId="6" priority="30" operator="equal">
      <formula>"Orange"</formula>
    </cfRule>
  </conditionalFormatting>
  <conditionalFormatting sqref="O431:P537">
    <cfRule type="cellIs" dxfId="5" priority="1" operator="equal">
      <formula>"Green"</formula>
    </cfRule>
    <cfRule type="cellIs" dxfId="4" priority="2" operator="equal">
      <formula>"Orange"</formula>
    </cfRule>
    <cfRule type="cellIs" dxfId="3" priority="3" operator="equal">
      <formula>"Red"</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31B15-E781-48BF-8EFF-EF9002A2AF90}">
  <dimension ref="A1:E427"/>
  <sheetViews>
    <sheetView topLeftCell="A42" workbookViewId="0">
      <selection activeCell="B49" sqref="B49"/>
    </sheetView>
  </sheetViews>
  <sheetFormatPr defaultRowHeight="13" x14ac:dyDescent="0.3"/>
  <cols>
    <col min="2" max="2" width="41.09765625" customWidth="1"/>
    <col min="3" max="3" width="51.69921875" customWidth="1"/>
    <col min="4" max="4" width="14.3984375" style="25" customWidth="1"/>
    <col min="5" max="5" width="14.59765625" customWidth="1"/>
  </cols>
  <sheetData>
    <row r="1" spans="1:5" ht="30" x14ac:dyDescent="0.3">
      <c r="A1" s="17" t="s">
        <v>480</v>
      </c>
      <c r="B1" s="17" t="s">
        <v>1105</v>
      </c>
      <c r="C1" s="17" t="s">
        <v>1102</v>
      </c>
      <c r="D1" s="17" t="s">
        <v>1104</v>
      </c>
      <c r="E1" s="17" t="s">
        <v>416</v>
      </c>
    </row>
    <row r="2" spans="1:5" ht="31" x14ac:dyDescent="0.3">
      <c r="A2" s="18">
        <v>1</v>
      </c>
      <c r="B2" s="19" t="s">
        <v>617</v>
      </c>
      <c r="C2" s="20" t="s">
        <v>575</v>
      </c>
      <c r="D2" s="24">
        <v>20</v>
      </c>
      <c r="E2" s="23" t="s">
        <v>199</v>
      </c>
    </row>
    <row r="3" spans="1:5" ht="31" x14ac:dyDescent="0.3">
      <c r="A3" s="18">
        <v>2</v>
      </c>
      <c r="B3" s="19" t="s">
        <v>618</v>
      </c>
      <c r="C3" s="20" t="s">
        <v>575</v>
      </c>
      <c r="D3" s="24">
        <v>20</v>
      </c>
      <c r="E3" s="23" t="s">
        <v>199</v>
      </c>
    </row>
    <row r="4" spans="1:5" ht="62" x14ac:dyDescent="0.3">
      <c r="A4" s="18">
        <v>3</v>
      </c>
      <c r="B4" s="19" t="s">
        <v>619</v>
      </c>
      <c r="C4" s="20" t="s">
        <v>575</v>
      </c>
      <c r="D4" s="24">
        <v>20</v>
      </c>
      <c r="E4" s="23" t="s">
        <v>199</v>
      </c>
    </row>
    <row r="5" spans="1:5" ht="46.5" x14ac:dyDescent="0.3">
      <c r="A5" s="18">
        <v>4</v>
      </c>
      <c r="B5" s="19" t="s">
        <v>620</v>
      </c>
      <c r="C5" s="20" t="s">
        <v>575</v>
      </c>
      <c r="D5" s="24">
        <v>20</v>
      </c>
      <c r="E5" s="23" t="s">
        <v>199</v>
      </c>
    </row>
    <row r="6" spans="1:5" ht="46.5" x14ac:dyDescent="0.3">
      <c r="A6" s="18">
        <v>5</v>
      </c>
      <c r="B6" s="19" t="s">
        <v>621</v>
      </c>
      <c r="C6" s="20" t="s">
        <v>575</v>
      </c>
      <c r="D6" s="24">
        <v>20</v>
      </c>
      <c r="E6" s="23" t="s">
        <v>199</v>
      </c>
    </row>
    <row r="7" spans="1:5" ht="31" x14ac:dyDescent="0.3">
      <c r="A7" s="18">
        <v>6</v>
      </c>
      <c r="B7" s="19" t="s">
        <v>622</v>
      </c>
      <c r="C7" s="20" t="s">
        <v>575</v>
      </c>
      <c r="D7" s="24">
        <v>20</v>
      </c>
      <c r="E7" s="23" t="s">
        <v>199</v>
      </c>
    </row>
    <row r="8" spans="1:5" ht="31" x14ac:dyDescent="0.3">
      <c r="A8" s="18">
        <v>7</v>
      </c>
      <c r="B8" s="19" t="s">
        <v>623</v>
      </c>
      <c r="C8" s="20" t="s">
        <v>575</v>
      </c>
      <c r="D8" s="24">
        <v>20</v>
      </c>
      <c r="E8" s="23" t="s">
        <v>199</v>
      </c>
    </row>
    <row r="9" spans="1:5" ht="31" x14ac:dyDescent="0.3">
      <c r="A9" s="18">
        <v>8</v>
      </c>
      <c r="B9" s="19" t="s">
        <v>624</v>
      </c>
      <c r="C9" s="20" t="s">
        <v>575</v>
      </c>
      <c r="D9" s="24">
        <v>20</v>
      </c>
      <c r="E9" s="23" t="s">
        <v>199</v>
      </c>
    </row>
    <row r="10" spans="1:5" ht="31" x14ac:dyDescent="0.3">
      <c r="A10" s="18">
        <v>9</v>
      </c>
      <c r="B10" s="19" t="s">
        <v>625</v>
      </c>
      <c r="C10" s="20" t="s">
        <v>575</v>
      </c>
      <c r="D10" s="24">
        <v>20</v>
      </c>
      <c r="E10" s="23" t="s">
        <v>199</v>
      </c>
    </row>
    <row r="11" spans="1:5" ht="31" x14ac:dyDescent="0.3">
      <c r="A11" s="18">
        <v>10</v>
      </c>
      <c r="B11" s="19" t="s">
        <v>626</v>
      </c>
      <c r="C11" s="20" t="s">
        <v>575</v>
      </c>
      <c r="D11" s="24">
        <v>20</v>
      </c>
      <c r="E11" s="23" t="s">
        <v>199</v>
      </c>
    </row>
    <row r="12" spans="1:5" ht="31" x14ac:dyDescent="0.3">
      <c r="A12" s="18">
        <v>11</v>
      </c>
      <c r="B12" s="19" t="s">
        <v>627</v>
      </c>
      <c r="C12" s="20" t="s">
        <v>575</v>
      </c>
      <c r="D12" s="24">
        <v>20</v>
      </c>
      <c r="E12" s="23" t="s">
        <v>199</v>
      </c>
    </row>
    <row r="13" spans="1:5" ht="31" x14ac:dyDescent="0.3">
      <c r="A13" s="18">
        <v>12</v>
      </c>
      <c r="B13" s="19" t="s">
        <v>628</v>
      </c>
      <c r="C13" s="20" t="s">
        <v>575</v>
      </c>
      <c r="D13" s="24">
        <v>20</v>
      </c>
      <c r="E13" s="23" t="s">
        <v>199</v>
      </c>
    </row>
    <row r="14" spans="1:5" ht="31" x14ac:dyDescent="0.3">
      <c r="A14" s="18">
        <v>13</v>
      </c>
      <c r="B14" s="19" t="s">
        <v>629</v>
      </c>
      <c r="C14" s="20" t="s">
        <v>575</v>
      </c>
      <c r="D14" s="24">
        <v>20</v>
      </c>
      <c r="E14" s="23" t="s">
        <v>199</v>
      </c>
    </row>
    <row r="15" spans="1:5" ht="31" x14ac:dyDescent="0.3">
      <c r="A15" s="18">
        <v>14</v>
      </c>
      <c r="B15" s="19" t="s">
        <v>630</v>
      </c>
      <c r="C15" s="20" t="s">
        <v>575</v>
      </c>
      <c r="D15" s="24">
        <v>20</v>
      </c>
      <c r="E15" s="23" t="s">
        <v>199</v>
      </c>
    </row>
    <row r="16" spans="1:5" ht="31" x14ac:dyDescent="0.3">
      <c r="A16" s="18">
        <v>15</v>
      </c>
      <c r="B16" s="19" t="s">
        <v>631</v>
      </c>
      <c r="C16" s="20" t="s">
        <v>575</v>
      </c>
      <c r="D16" s="24">
        <v>20</v>
      </c>
      <c r="E16" s="23" t="s">
        <v>199</v>
      </c>
    </row>
    <row r="17" spans="1:5" ht="31" x14ac:dyDescent="0.3">
      <c r="A17" s="18">
        <v>16</v>
      </c>
      <c r="B17" s="19" t="s">
        <v>632</v>
      </c>
      <c r="C17" s="20" t="s">
        <v>575</v>
      </c>
      <c r="D17" s="24">
        <v>20</v>
      </c>
      <c r="E17" s="23" t="s">
        <v>199</v>
      </c>
    </row>
    <row r="18" spans="1:5" ht="31" x14ac:dyDescent="0.3">
      <c r="A18" s="18">
        <v>17</v>
      </c>
      <c r="B18" s="19" t="s">
        <v>633</v>
      </c>
      <c r="C18" s="20" t="s">
        <v>575</v>
      </c>
      <c r="D18" s="24">
        <v>20</v>
      </c>
      <c r="E18" s="23" t="s">
        <v>199</v>
      </c>
    </row>
    <row r="19" spans="1:5" ht="31" x14ac:dyDescent="0.3">
      <c r="A19" s="18">
        <v>18</v>
      </c>
      <c r="B19" s="19" t="s">
        <v>634</v>
      </c>
      <c r="C19" s="20" t="s">
        <v>575</v>
      </c>
      <c r="D19" s="24">
        <v>20</v>
      </c>
      <c r="E19" s="23" t="s">
        <v>199</v>
      </c>
    </row>
    <row r="20" spans="1:5" ht="31" x14ac:dyDescent="0.3">
      <c r="A20" s="18">
        <v>19</v>
      </c>
      <c r="B20" s="19" t="s">
        <v>635</v>
      </c>
      <c r="C20" s="20" t="s">
        <v>575</v>
      </c>
      <c r="D20" s="24">
        <v>20</v>
      </c>
      <c r="E20" s="23" t="s">
        <v>199</v>
      </c>
    </row>
    <row r="21" spans="1:5" ht="31" x14ac:dyDescent="0.3">
      <c r="A21" s="18">
        <v>20</v>
      </c>
      <c r="B21" s="19" t="s">
        <v>636</v>
      </c>
      <c r="C21" s="20" t="s">
        <v>575</v>
      </c>
      <c r="D21" s="24">
        <v>20</v>
      </c>
      <c r="E21" s="23" t="s">
        <v>199</v>
      </c>
    </row>
    <row r="22" spans="1:5" ht="31" x14ac:dyDescent="0.3">
      <c r="A22" s="18">
        <v>21</v>
      </c>
      <c r="B22" s="19" t="s">
        <v>637</v>
      </c>
      <c r="C22" s="20" t="s">
        <v>575</v>
      </c>
      <c r="D22" s="24">
        <v>20</v>
      </c>
      <c r="E22" s="23" t="s">
        <v>199</v>
      </c>
    </row>
    <row r="23" spans="1:5" ht="46.5" x14ac:dyDescent="0.3">
      <c r="A23" s="18">
        <v>22</v>
      </c>
      <c r="B23" s="19" t="s">
        <v>638</v>
      </c>
      <c r="C23" s="20" t="s">
        <v>575</v>
      </c>
      <c r="D23" s="24">
        <v>20</v>
      </c>
      <c r="E23" s="23" t="s">
        <v>199</v>
      </c>
    </row>
    <row r="24" spans="1:5" ht="46.5" x14ac:dyDescent="0.3">
      <c r="A24" s="18">
        <v>23</v>
      </c>
      <c r="B24" s="19" t="s">
        <v>639</v>
      </c>
      <c r="C24" s="20" t="s">
        <v>575</v>
      </c>
      <c r="D24" s="24">
        <v>20</v>
      </c>
      <c r="E24" s="23" t="s">
        <v>199</v>
      </c>
    </row>
    <row r="25" spans="1:5" ht="31" x14ac:dyDescent="0.3">
      <c r="A25" s="18">
        <v>24</v>
      </c>
      <c r="B25" s="19" t="s">
        <v>640</v>
      </c>
      <c r="C25" s="20" t="s">
        <v>575</v>
      </c>
      <c r="D25" s="24">
        <v>20</v>
      </c>
      <c r="E25" s="23" t="s">
        <v>199</v>
      </c>
    </row>
    <row r="26" spans="1:5" ht="31" x14ac:dyDescent="0.3">
      <c r="A26" s="18">
        <v>25</v>
      </c>
      <c r="B26" s="19" t="s">
        <v>641</v>
      </c>
      <c r="C26" s="20" t="s">
        <v>575</v>
      </c>
      <c r="D26" s="24">
        <v>20</v>
      </c>
      <c r="E26" s="23" t="s">
        <v>199</v>
      </c>
    </row>
    <row r="27" spans="1:5" ht="31" x14ac:dyDescent="0.3">
      <c r="A27" s="18">
        <v>26</v>
      </c>
      <c r="B27" s="19" t="s">
        <v>642</v>
      </c>
      <c r="C27" s="20" t="s">
        <v>575</v>
      </c>
      <c r="D27" s="24">
        <v>20</v>
      </c>
      <c r="E27" s="23" t="s">
        <v>199</v>
      </c>
    </row>
    <row r="28" spans="1:5" ht="31" x14ac:dyDescent="0.3">
      <c r="A28" s="18">
        <v>27</v>
      </c>
      <c r="B28" s="19" t="s">
        <v>643</v>
      </c>
      <c r="C28" s="20" t="s">
        <v>575</v>
      </c>
      <c r="D28" s="24">
        <v>20</v>
      </c>
      <c r="E28" s="23" t="s">
        <v>199</v>
      </c>
    </row>
    <row r="29" spans="1:5" ht="31" x14ac:dyDescent="0.3">
      <c r="A29" s="18">
        <v>28</v>
      </c>
      <c r="B29" s="19" t="s">
        <v>644</v>
      </c>
      <c r="C29" s="20" t="s">
        <v>575</v>
      </c>
      <c r="D29" s="24">
        <v>20</v>
      </c>
      <c r="E29" s="23" t="s">
        <v>199</v>
      </c>
    </row>
    <row r="30" spans="1:5" ht="31" x14ac:dyDescent="0.3">
      <c r="A30" s="18">
        <v>29</v>
      </c>
      <c r="B30" s="19" t="s">
        <v>645</v>
      </c>
      <c r="C30" s="20" t="s">
        <v>575</v>
      </c>
      <c r="D30" s="24">
        <v>20</v>
      </c>
      <c r="E30" s="23" t="s">
        <v>199</v>
      </c>
    </row>
    <row r="31" spans="1:5" ht="31" x14ac:dyDescent="0.3">
      <c r="A31" s="18">
        <v>30</v>
      </c>
      <c r="B31" s="19" t="s">
        <v>646</v>
      </c>
      <c r="C31" s="20" t="s">
        <v>575</v>
      </c>
      <c r="D31" s="24">
        <v>20</v>
      </c>
      <c r="E31" s="23" t="s">
        <v>199</v>
      </c>
    </row>
    <row r="32" spans="1:5" ht="31" x14ac:dyDescent="0.3">
      <c r="A32" s="18">
        <v>31</v>
      </c>
      <c r="B32" s="19" t="s">
        <v>647</v>
      </c>
      <c r="C32" s="20" t="s">
        <v>575</v>
      </c>
      <c r="D32" s="24">
        <v>20</v>
      </c>
      <c r="E32" s="23" t="s">
        <v>199</v>
      </c>
    </row>
    <row r="33" spans="1:5" ht="31" x14ac:dyDescent="0.3">
      <c r="A33" s="18">
        <v>32</v>
      </c>
      <c r="B33" s="19" t="s">
        <v>648</v>
      </c>
      <c r="C33" s="20" t="s">
        <v>575</v>
      </c>
      <c r="D33" s="24">
        <v>20</v>
      </c>
      <c r="E33" s="23" t="s">
        <v>199</v>
      </c>
    </row>
    <row r="34" spans="1:5" ht="31" x14ac:dyDescent="0.3">
      <c r="A34" s="18">
        <v>33</v>
      </c>
      <c r="B34" s="19" t="s">
        <v>649</v>
      </c>
      <c r="C34" s="20" t="s">
        <v>575</v>
      </c>
      <c r="D34" s="24">
        <v>20</v>
      </c>
      <c r="E34" s="23" t="s">
        <v>199</v>
      </c>
    </row>
    <row r="35" spans="1:5" ht="31" x14ac:dyDescent="0.3">
      <c r="A35" s="18">
        <v>34</v>
      </c>
      <c r="B35" s="19" t="s">
        <v>650</v>
      </c>
      <c r="C35" s="20" t="s">
        <v>575</v>
      </c>
      <c r="D35" s="24">
        <v>20</v>
      </c>
      <c r="E35" s="23" t="s">
        <v>199</v>
      </c>
    </row>
    <row r="36" spans="1:5" ht="46.5" x14ac:dyDescent="0.3">
      <c r="A36" s="18">
        <v>35</v>
      </c>
      <c r="B36" s="19" t="s">
        <v>651</v>
      </c>
      <c r="C36" s="20" t="s">
        <v>575</v>
      </c>
      <c r="D36" s="24">
        <v>20</v>
      </c>
      <c r="E36" s="23" t="s">
        <v>199</v>
      </c>
    </row>
    <row r="37" spans="1:5" ht="31" x14ac:dyDescent="0.3">
      <c r="A37" s="18">
        <v>36</v>
      </c>
      <c r="B37" s="19" t="s">
        <v>652</v>
      </c>
      <c r="C37" s="20" t="s">
        <v>575</v>
      </c>
      <c r="D37" s="24">
        <v>20</v>
      </c>
      <c r="E37" s="23" t="s">
        <v>199</v>
      </c>
    </row>
    <row r="38" spans="1:5" ht="31" x14ac:dyDescent="0.3">
      <c r="A38" s="18">
        <v>37</v>
      </c>
      <c r="B38" s="19" t="s">
        <v>653</v>
      </c>
      <c r="C38" s="20" t="s">
        <v>575</v>
      </c>
      <c r="D38" s="24">
        <v>20</v>
      </c>
      <c r="E38" s="23" t="s">
        <v>199</v>
      </c>
    </row>
    <row r="39" spans="1:5" ht="31" x14ac:dyDescent="0.3">
      <c r="A39" s="18">
        <v>38</v>
      </c>
      <c r="B39" s="19" t="s">
        <v>654</v>
      </c>
      <c r="C39" s="20" t="s">
        <v>575</v>
      </c>
      <c r="D39" s="24">
        <v>20</v>
      </c>
      <c r="E39" s="23" t="s">
        <v>199</v>
      </c>
    </row>
    <row r="40" spans="1:5" ht="31" x14ac:dyDescent="0.3">
      <c r="A40" s="18">
        <v>39</v>
      </c>
      <c r="B40" s="19" t="s">
        <v>655</v>
      </c>
      <c r="C40" s="20" t="s">
        <v>575</v>
      </c>
      <c r="D40" s="24">
        <v>20</v>
      </c>
      <c r="E40" s="23" t="s">
        <v>199</v>
      </c>
    </row>
    <row r="41" spans="1:5" ht="31" x14ac:dyDescent="0.3">
      <c r="A41" s="18">
        <v>40</v>
      </c>
      <c r="B41" s="19" t="s">
        <v>656</v>
      </c>
      <c r="C41" s="20" t="s">
        <v>575</v>
      </c>
      <c r="D41" s="24">
        <v>20</v>
      </c>
      <c r="E41" s="23" t="s">
        <v>199</v>
      </c>
    </row>
    <row r="42" spans="1:5" ht="31" x14ac:dyDescent="0.3">
      <c r="A42" s="18">
        <v>41</v>
      </c>
      <c r="B42" s="19" t="s">
        <v>657</v>
      </c>
      <c r="C42" s="20" t="s">
        <v>575</v>
      </c>
      <c r="D42" s="24">
        <v>20</v>
      </c>
      <c r="E42" s="23" t="s">
        <v>199</v>
      </c>
    </row>
    <row r="43" spans="1:5" ht="31" x14ac:dyDescent="0.3">
      <c r="A43" s="18">
        <v>42</v>
      </c>
      <c r="B43" s="19" t="s">
        <v>658</v>
      </c>
      <c r="C43" s="20" t="s">
        <v>575</v>
      </c>
      <c r="D43" s="24">
        <v>20</v>
      </c>
      <c r="E43" s="23" t="s">
        <v>199</v>
      </c>
    </row>
    <row r="44" spans="1:5" ht="31" x14ac:dyDescent="0.3">
      <c r="A44" s="18">
        <v>43</v>
      </c>
      <c r="B44" s="19" t="s">
        <v>659</v>
      </c>
      <c r="C44" s="20" t="s">
        <v>575</v>
      </c>
      <c r="D44" s="24">
        <v>20</v>
      </c>
      <c r="E44" s="23" t="s">
        <v>199</v>
      </c>
    </row>
    <row r="45" spans="1:5" ht="31" x14ac:dyDescent="0.3">
      <c r="A45" s="18">
        <v>44</v>
      </c>
      <c r="B45" s="19" t="s">
        <v>660</v>
      </c>
      <c r="C45" s="20" t="s">
        <v>575</v>
      </c>
      <c r="D45" s="24">
        <v>20</v>
      </c>
      <c r="E45" s="23" t="s">
        <v>199</v>
      </c>
    </row>
    <row r="46" spans="1:5" ht="31" x14ac:dyDescent="0.3">
      <c r="A46" s="18">
        <v>45</v>
      </c>
      <c r="B46" s="19" t="s">
        <v>661</v>
      </c>
      <c r="C46" s="20" t="s">
        <v>575</v>
      </c>
      <c r="D46" s="24">
        <v>20</v>
      </c>
      <c r="E46" s="23" t="s">
        <v>199</v>
      </c>
    </row>
    <row r="47" spans="1:5" ht="31" x14ac:dyDescent="0.3">
      <c r="A47" s="18">
        <v>46</v>
      </c>
      <c r="B47" s="19" t="s">
        <v>662</v>
      </c>
      <c r="C47" s="20" t="s">
        <v>575</v>
      </c>
      <c r="D47" s="24">
        <v>20</v>
      </c>
      <c r="E47" s="23" t="s">
        <v>199</v>
      </c>
    </row>
    <row r="48" spans="1:5" ht="31" x14ac:dyDescent="0.3">
      <c r="A48" s="18">
        <v>47</v>
      </c>
      <c r="B48" s="19" t="s">
        <v>663</v>
      </c>
      <c r="C48" s="20" t="s">
        <v>575</v>
      </c>
      <c r="D48" s="24">
        <v>20</v>
      </c>
      <c r="E48" s="23" t="s">
        <v>199</v>
      </c>
    </row>
    <row r="49" spans="1:5" ht="31" x14ac:dyDescent="0.3">
      <c r="A49" s="18">
        <v>48</v>
      </c>
      <c r="B49" s="19" t="s">
        <v>664</v>
      </c>
      <c r="C49" s="20" t="s">
        <v>575</v>
      </c>
      <c r="D49" s="24">
        <v>20</v>
      </c>
      <c r="E49" s="23" t="s">
        <v>199</v>
      </c>
    </row>
    <row r="50" spans="1:5" ht="31" x14ac:dyDescent="0.3">
      <c r="A50" s="18">
        <v>49</v>
      </c>
      <c r="B50" s="19" t="s">
        <v>665</v>
      </c>
      <c r="C50" s="20" t="s">
        <v>575</v>
      </c>
      <c r="D50" s="24">
        <v>20</v>
      </c>
      <c r="E50" s="23" t="s">
        <v>199</v>
      </c>
    </row>
    <row r="51" spans="1:5" ht="31" x14ac:dyDescent="0.3">
      <c r="A51" s="18">
        <v>50</v>
      </c>
      <c r="B51" s="19" t="s">
        <v>666</v>
      </c>
      <c r="C51" s="20" t="s">
        <v>575</v>
      </c>
      <c r="D51" s="24">
        <v>20</v>
      </c>
      <c r="E51" s="23" t="s">
        <v>199</v>
      </c>
    </row>
    <row r="52" spans="1:5" ht="31" x14ac:dyDescent="0.3">
      <c r="A52" s="18">
        <v>51</v>
      </c>
      <c r="B52" s="19" t="s">
        <v>667</v>
      </c>
      <c r="C52" s="20" t="s">
        <v>575</v>
      </c>
      <c r="D52" s="24">
        <v>20</v>
      </c>
      <c r="E52" s="23" t="s">
        <v>199</v>
      </c>
    </row>
    <row r="53" spans="1:5" ht="31" x14ac:dyDescent="0.3">
      <c r="A53" s="18">
        <v>52</v>
      </c>
      <c r="B53" s="19" t="s">
        <v>668</v>
      </c>
      <c r="C53" s="20" t="s">
        <v>575</v>
      </c>
      <c r="D53" s="24">
        <v>20</v>
      </c>
      <c r="E53" s="23" t="s">
        <v>199</v>
      </c>
    </row>
    <row r="54" spans="1:5" ht="31" x14ac:dyDescent="0.3">
      <c r="A54" s="18">
        <v>53</v>
      </c>
      <c r="B54" s="19" t="s">
        <v>669</v>
      </c>
      <c r="C54" s="20" t="s">
        <v>575</v>
      </c>
      <c r="D54" s="24">
        <v>20</v>
      </c>
      <c r="E54" s="23" t="s">
        <v>199</v>
      </c>
    </row>
    <row r="55" spans="1:5" ht="31" x14ac:dyDescent="0.3">
      <c r="A55" s="18">
        <v>54</v>
      </c>
      <c r="B55" s="19" t="s">
        <v>670</v>
      </c>
      <c r="C55" s="20" t="s">
        <v>575</v>
      </c>
      <c r="D55" s="24">
        <v>20</v>
      </c>
      <c r="E55" s="23" t="s">
        <v>199</v>
      </c>
    </row>
    <row r="56" spans="1:5" ht="31" x14ac:dyDescent="0.3">
      <c r="A56" s="18">
        <v>55</v>
      </c>
      <c r="B56" s="19" t="s">
        <v>671</v>
      </c>
      <c r="C56" s="20" t="s">
        <v>575</v>
      </c>
      <c r="D56" s="24">
        <v>20</v>
      </c>
      <c r="E56" s="23" t="s">
        <v>199</v>
      </c>
    </row>
    <row r="57" spans="1:5" ht="31" x14ac:dyDescent="0.3">
      <c r="A57" s="18">
        <v>56</v>
      </c>
      <c r="B57" s="19" t="s">
        <v>672</v>
      </c>
      <c r="C57" s="20" t="s">
        <v>575</v>
      </c>
      <c r="D57" s="24">
        <v>20</v>
      </c>
      <c r="E57" s="23" t="s">
        <v>199</v>
      </c>
    </row>
    <row r="58" spans="1:5" ht="31" x14ac:dyDescent="0.3">
      <c r="A58" s="18">
        <v>57</v>
      </c>
      <c r="B58" s="19" t="s">
        <v>673</v>
      </c>
      <c r="C58" s="20" t="s">
        <v>575</v>
      </c>
      <c r="D58" s="24">
        <v>20</v>
      </c>
      <c r="E58" s="23" t="s">
        <v>199</v>
      </c>
    </row>
    <row r="59" spans="1:5" ht="31" x14ac:dyDescent="0.3">
      <c r="A59" s="18">
        <v>58</v>
      </c>
      <c r="B59" s="19" t="s">
        <v>674</v>
      </c>
      <c r="C59" s="20" t="s">
        <v>575</v>
      </c>
      <c r="D59" s="24">
        <v>20</v>
      </c>
      <c r="E59" s="23" t="s">
        <v>199</v>
      </c>
    </row>
    <row r="60" spans="1:5" ht="31" x14ac:dyDescent="0.3">
      <c r="A60" s="18">
        <v>59</v>
      </c>
      <c r="B60" s="19" t="s">
        <v>675</v>
      </c>
      <c r="C60" s="20" t="s">
        <v>575</v>
      </c>
      <c r="D60" s="24">
        <v>20</v>
      </c>
      <c r="E60" s="23" t="s">
        <v>199</v>
      </c>
    </row>
    <row r="61" spans="1:5" ht="31" x14ac:dyDescent="0.3">
      <c r="A61" s="18">
        <v>60</v>
      </c>
      <c r="B61" s="19" t="s">
        <v>676</v>
      </c>
      <c r="C61" s="20" t="s">
        <v>575</v>
      </c>
      <c r="D61" s="24">
        <v>20</v>
      </c>
      <c r="E61" s="23" t="s">
        <v>199</v>
      </c>
    </row>
    <row r="62" spans="1:5" ht="31" x14ac:dyDescent="0.3">
      <c r="A62" s="18">
        <v>61</v>
      </c>
      <c r="B62" s="19" t="s">
        <v>677</v>
      </c>
      <c r="C62" s="20" t="s">
        <v>575</v>
      </c>
      <c r="D62" s="24">
        <v>20</v>
      </c>
      <c r="E62" s="23" t="s">
        <v>199</v>
      </c>
    </row>
    <row r="63" spans="1:5" ht="31" x14ac:dyDescent="0.3">
      <c r="A63" s="18">
        <v>62</v>
      </c>
      <c r="B63" s="19" t="s">
        <v>678</v>
      </c>
      <c r="C63" s="20" t="s">
        <v>575</v>
      </c>
      <c r="D63" s="24">
        <v>20</v>
      </c>
      <c r="E63" s="23" t="s">
        <v>199</v>
      </c>
    </row>
    <row r="64" spans="1:5" ht="31" x14ac:dyDescent="0.3">
      <c r="A64" s="18">
        <v>63</v>
      </c>
      <c r="B64" s="19" t="s">
        <v>679</v>
      </c>
      <c r="C64" s="20" t="s">
        <v>575</v>
      </c>
      <c r="D64" s="24">
        <v>20</v>
      </c>
      <c r="E64" s="23" t="s">
        <v>199</v>
      </c>
    </row>
    <row r="65" spans="1:5" ht="31" x14ac:dyDescent="0.3">
      <c r="A65" s="18">
        <v>64</v>
      </c>
      <c r="B65" s="19" t="s">
        <v>680</v>
      </c>
      <c r="C65" s="20" t="s">
        <v>575</v>
      </c>
      <c r="D65" s="24">
        <v>20</v>
      </c>
      <c r="E65" s="23" t="s">
        <v>199</v>
      </c>
    </row>
    <row r="66" spans="1:5" ht="31" x14ac:dyDescent="0.3">
      <c r="A66" s="18">
        <v>65</v>
      </c>
      <c r="B66" s="19" t="s">
        <v>681</v>
      </c>
      <c r="C66" s="20" t="s">
        <v>575</v>
      </c>
      <c r="D66" s="24">
        <v>20</v>
      </c>
      <c r="E66" s="23" t="s">
        <v>199</v>
      </c>
    </row>
    <row r="67" spans="1:5" ht="31" x14ac:dyDescent="0.3">
      <c r="A67" s="18">
        <v>66</v>
      </c>
      <c r="B67" s="21" t="s">
        <v>682</v>
      </c>
      <c r="C67" s="19" t="s">
        <v>575</v>
      </c>
      <c r="D67" s="24">
        <v>20</v>
      </c>
      <c r="E67" s="23" t="s">
        <v>199</v>
      </c>
    </row>
    <row r="68" spans="1:5" ht="31" x14ac:dyDescent="0.3">
      <c r="A68" s="18">
        <v>67</v>
      </c>
      <c r="B68" s="21" t="s">
        <v>683</v>
      </c>
      <c r="C68" s="19" t="s">
        <v>575</v>
      </c>
      <c r="D68" s="24">
        <v>20</v>
      </c>
      <c r="E68" s="23" t="s">
        <v>199</v>
      </c>
    </row>
    <row r="69" spans="1:5" ht="77.5" x14ac:dyDescent="0.3">
      <c r="A69" s="18">
        <v>68</v>
      </c>
      <c r="B69" s="19" t="s">
        <v>684</v>
      </c>
      <c r="C69" s="20" t="s">
        <v>585</v>
      </c>
      <c r="D69" s="24">
        <v>0</v>
      </c>
      <c r="E69" s="23" t="s">
        <v>199</v>
      </c>
    </row>
    <row r="70" spans="1:5" ht="77.5" x14ac:dyDescent="0.3">
      <c r="A70" s="18">
        <v>69</v>
      </c>
      <c r="B70" s="19" t="s">
        <v>685</v>
      </c>
      <c r="C70" s="20" t="s">
        <v>585</v>
      </c>
      <c r="D70" s="24">
        <v>0</v>
      </c>
      <c r="E70" s="23" t="s">
        <v>199</v>
      </c>
    </row>
    <row r="71" spans="1:5" ht="77.5" x14ac:dyDescent="0.3">
      <c r="A71" s="18">
        <v>70</v>
      </c>
      <c r="B71" s="19" t="s">
        <v>686</v>
      </c>
      <c r="C71" s="20" t="s">
        <v>585</v>
      </c>
      <c r="D71" s="24">
        <v>0</v>
      </c>
      <c r="E71" s="23" t="s">
        <v>199</v>
      </c>
    </row>
    <row r="72" spans="1:5" ht="62" x14ac:dyDescent="0.3">
      <c r="A72" s="18">
        <v>71</v>
      </c>
      <c r="B72" s="19" t="s">
        <v>687</v>
      </c>
      <c r="C72" s="20" t="s">
        <v>574</v>
      </c>
      <c r="D72" s="24">
        <v>10</v>
      </c>
      <c r="E72" s="23" t="s">
        <v>199</v>
      </c>
    </row>
    <row r="73" spans="1:5" ht="62" x14ac:dyDescent="0.3">
      <c r="A73" s="18">
        <v>72</v>
      </c>
      <c r="B73" s="19" t="s">
        <v>688</v>
      </c>
      <c r="C73" s="20" t="s">
        <v>574</v>
      </c>
      <c r="D73" s="24">
        <v>10</v>
      </c>
      <c r="E73" s="23" t="s">
        <v>199</v>
      </c>
    </row>
    <row r="74" spans="1:5" ht="62" x14ac:dyDescent="0.3">
      <c r="A74" s="18">
        <v>73</v>
      </c>
      <c r="B74" s="19" t="s">
        <v>689</v>
      </c>
      <c r="C74" s="20" t="s">
        <v>574</v>
      </c>
      <c r="D74" s="24">
        <v>10</v>
      </c>
      <c r="E74" s="23" t="s">
        <v>199</v>
      </c>
    </row>
    <row r="75" spans="1:5" ht="62" x14ac:dyDescent="0.3">
      <c r="A75" s="18">
        <v>74</v>
      </c>
      <c r="B75" s="19" t="s">
        <v>690</v>
      </c>
      <c r="C75" s="20" t="s">
        <v>574</v>
      </c>
      <c r="D75" s="24">
        <v>10</v>
      </c>
      <c r="E75" s="23" t="s">
        <v>199</v>
      </c>
    </row>
    <row r="76" spans="1:5" ht="77.5" x14ac:dyDescent="0.3">
      <c r="A76" s="18">
        <v>75</v>
      </c>
      <c r="B76" s="19" t="s">
        <v>691</v>
      </c>
      <c r="C76" s="20" t="s">
        <v>585</v>
      </c>
      <c r="D76" s="24">
        <v>0</v>
      </c>
      <c r="E76" s="23" t="s">
        <v>199</v>
      </c>
    </row>
    <row r="77" spans="1:5" ht="77.5" x14ac:dyDescent="0.3">
      <c r="A77" s="18">
        <v>76</v>
      </c>
      <c r="B77" s="21" t="s">
        <v>692</v>
      </c>
      <c r="C77" s="21" t="s">
        <v>585</v>
      </c>
      <c r="D77" s="24">
        <v>0</v>
      </c>
      <c r="E77" s="23" t="s">
        <v>199</v>
      </c>
    </row>
    <row r="78" spans="1:5" ht="77.5" x14ac:dyDescent="0.3">
      <c r="A78" s="18">
        <v>77</v>
      </c>
      <c r="B78" s="21" t="s">
        <v>693</v>
      </c>
      <c r="C78" s="19" t="s">
        <v>585</v>
      </c>
      <c r="D78" s="24">
        <v>0</v>
      </c>
      <c r="E78" s="23" t="s">
        <v>199</v>
      </c>
    </row>
    <row r="79" spans="1:5" ht="77.5" x14ac:dyDescent="0.3">
      <c r="A79" s="18">
        <v>78</v>
      </c>
      <c r="B79" s="21" t="s">
        <v>694</v>
      </c>
      <c r="C79" s="21" t="s">
        <v>585</v>
      </c>
      <c r="D79" s="24">
        <v>0</v>
      </c>
      <c r="E79" s="23" t="s">
        <v>199</v>
      </c>
    </row>
    <row r="80" spans="1:5" ht="77.5" x14ac:dyDescent="0.3">
      <c r="A80" s="18">
        <v>79</v>
      </c>
      <c r="B80" s="21" t="s">
        <v>695</v>
      </c>
      <c r="C80" s="21" t="s">
        <v>585</v>
      </c>
      <c r="D80" s="24">
        <v>0</v>
      </c>
      <c r="E80" s="23" t="s">
        <v>199</v>
      </c>
    </row>
    <row r="81" spans="1:5" ht="77.5" x14ac:dyDescent="0.3">
      <c r="A81" s="18">
        <v>80</v>
      </c>
      <c r="B81" s="21" t="s">
        <v>696</v>
      </c>
      <c r="C81" s="21" t="s">
        <v>585</v>
      </c>
      <c r="D81" s="24">
        <v>0</v>
      </c>
      <c r="E81" s="23" t="s">
        <v>199</v>
      </c>
    </row>
    <row r="82" spans="1:5" ht="77.5" x14ac:dyDescent="0.3">
      <c r="A82" s="18">
        <v>81</v>
      </c>
      <c r="B82" s="21" t="s">
        <v>697</v>
      </c>
      <c r="C82" s="21" t="s">
        <v>585</v>
      </c>
      <c r="D82" s="24">
        <v>0</v>
      </c>
      <c r="E82" s="23" t="s">
        <v>199</v>
      </c>
    </row>
    <row r="83" spans="1:5" ht="62" x14ac:dyDescent="0.3">
      <c r="A83" s="18">
        <v>82</v>
      </c>
      <c r="B83" s="21" t="s">
        <v>698</v>
      </c>
      <c r="C83" s="21" t="s">
        <v>574</v>
      </c>
      <c r="D83" s="24">
        <v>10</v>
      </c>
      <c r="E83" s="23" t="s">
        <v>199</v>
      </c>
    </row>
    <row r="84" spans="1:5" ht="77.5" x14ac:dyDescent="0.3">
      <c r="A84" s="18">
        <v>83</v>
      </c>
      <c r="B84" s="21" t="s">
        <v>699</v>
      </c>
      <c r="C84" s="21" t="s">
        <v>585</v>
      </c>
      <c r="D84" s="24">
        <v>0</v>
      </c>
      <c r="E84" s="23" t="s">
        <v>199</v>
      </c>
    </row>
    <row r="85" spans="1:5" ht="46.5" x14ac:dyDescent="0.3">
      <c r="A85" s="18">
        <v>84</v>
      </c>
      <c r="B85" s="19" t="s">
        <v>700</v>
      </c>
      <c r="C85" s="21" t="s">
        <v>701</v>
      </c>
      <c r="D85" s="24">
        <v>0</v>
      </c>
      <c r="E85" s="23" t="s">
        <v>199</v>
      </c>
    </row>
    <row r="86" spans="1:5" ht="46.5" x14ac:dyDescent="0.3">
      <c r="A86" s="18">
        <v>85</v>
      </c>
      <c r="B86" s="19" t="s">
        <v>702</v>
      </c>
      <c r="C86" s="21" t="s">
        <v>701</v>
      </c>
      <c r="D86" s="24">
        <v>0</v>
      </c>
      <c r="E86" s="23" t="s">
        <v>199</v>
      </c>
    </row>
    <row r="87" spans="1:5" ht="31" x14ac:dyDescent="0.3">
      <c r="A87" s="18">
        <v>86</v>
      </c>
      <c r="B87" s="19" t="s">
        <v>703</v>
      </c>
      <c r="C87" s="21" t="s">
        <v>595</v>
      </c>
      <c r="D87" s="24">
        <v>0</v>
      </c>
      <c r="E87" s="23" t="s">
        <v>199</v>
      </c>
    </row>
    <row r="88" spans="1:5" ht="31" x14ac:dyDescent="0.3">
      <c r="A88" s="18">
        <v>87</v>
      </c>
      <c r="B88" s="19" t="s">
        <v>704</v>
      </c>
      <c r="C88" s="21" t="s">
        <v>595</v>
      </c>
      <c r="D88" s="24">
        <v>0</v>
      </c>
      <c r="E88" s="23" t="s">
        <v>199</v>
      </c>
    </row>
    <row r="89" spans="1:5" ht="31" x14ac:dyDescent="0.3">
      <c r="A89" s="18">
        <v>88</v>
      </c>
      <c r="B89" s="19" t="s">
        <v>705</v>
      </c>
      <c r="C89" s="21" t="s">
        <v>595</v>
      </c>
      <c r="D89" s="24">
        <v>0</v>
      </c>
      <c r="E89" s="23" t="s">
        <v>199</v>
      </c>
    </row>
    <row r="90" spans="1:5" ht="31" x14ac:dyDescent="0.3">
      <c r="A90" s="18">
        <v>89</v>
      </c>
      <c r="B90" s="19" t="s">
        <v>706</v>
      </c>
      <c r="C90" s="21" t="s">
        <v>595</v>
      </c>
      <c r="D90" s="24">
        <v>0</v>
      </c>
      <c r="E90" s="23" t="s">
        <v>199</v>
      </c>
    </row>
    <row r="91" spans="1:5" ht="31" x14ac:dyDescent="0.3">
      <c r="A91" s="18">
        <v>90</v>
      </c>
      <c r="B91" s="19" t="s">
        <v>707</v>
      </c>
      <c r="C91" s="21" t="s">
        <v>595</v>
      </c>
      <c r="D91" s="24">
        <v>0</v>
      </c>
      <c r="E91" s="23" t="s">
        <v>199</v>
      </c>
    </row>
    <row r="92" spans="1:5" ht="31" x14ac:dyDescent="0.3">
      <c r="A92" s="18">
        <v>91</v>
      </c>
      <c r="B92" s="19" t="s">
        <v>708</v>
      </c>
      <c r="C92" s="21" t="s">
        <v>595</v>
      </c>
      <c r="D92" s="24">
        <v>0</v>
      </c>
      <c r="E92" s="23" t="s">
        <v>199</v>
      </c>
    </row>
    <row r="93" spans="1:5" ht="31" x14ac:dyDescent="0.3">
      <c r="A93" s="18">
        <v>92</v>
      </c>
      <c r="B93" s="19" t="s">
        <v>709</v>
      </c>
      <c r="C93" s="21" t="s">
        <v>595</v>
      </c>
      <c r="D93" s="24">
        <v>0</v>
      </c>
      <c r="E93" s="23" t="s">
        <v>199</v>
      </c>
    </row>
    <row r="94" spans="1:5" ht="31" x14ac:dyDescent="0.3">
      <c r="A94" s="18">
        <v>93</v>
      </c>
      <c r="B94" s="19" t="s">
        <v>710</v>
      </c>
      <c r="C94" s="21" t="s">
        <v>595</v>
      </c>
      <c r="D94" s="24">
        <v>0</v>
      </c>
      <c r="E94" s="23" t="s">
        <v>199</v>
      </c>
    </row>
    <row r="95" spans="1:5" ht="31" x14ac:dyDescent="0.3">
      <c r="A95" s="18">
        <v>94</v>
      </c>
      <c r="B95" s="19" t="s">
        <v>711</v>
      </c>
      <c r="C95" s="21" t="s">
        <v>595</v>
      </c>
      <c r="D95" s="24">
        <v>0</v>
      </c>
      <c r="E95" s="23" t="s">
        <v>199</v>
      </c>
    </row>
    <row r="96" spans="1:5" ht="31" x14ac:dyDescent="0.3">
      <c r="A96" s="18">
        <v>95</v>
      </c>
      <c r="B96" s="19" t="s">
        <v>712</v>
      </c>
      <c r="C96" s="21" t="s">
        <v>595</v>
      </c>
      <c r="D96" s="24">
        <v>0</v>
      </c>
      <c r="E96" s="23" t="s">
        <v>199</v>
      </c>
    </row>
    <row r="97" spans="1:5" ht="31" x14ac:dyDescent="0.3">
      <c r="A97" s="18">
        <v>96</v>
      </c>
      <c r="B97" s="19" t="s">
        <v>713</v>
      </c>
      <c r="C97" s="21" t="s">
        <v>595</v>
      </c>
      <c r="D97" s="24">
        <v>0</v>
      </c>
      <c r="E97" s="23" t="s">
        <v>199</v>
      </c>
    </row>
    <row r="98" spans="1:5" ht="31" x14ac:dyDescent="0.3">
      <c r="A98" s="18">
        <v>97</v>
      </c>
      <c r="B98" s="19" t="s">
        <v>714</v>
      </c>
      <c r="C98" s="21" t="s">
        <v>595</v>
      </c>
      <c r="D98" s="24">
        <v>0</v>
      </c>
      <c r="E98" s="23" t="s">
        <v>199</v>
      </c>
    </row>
    <row r="99" spans="1:5" ht="31" x14ac:dyDescent="0.3">
      <c r="A99" s="18">
        <v>98</v>
      </c>
      <c r="B99" s="19" t="s">
        <v>715</v>
      </c>
      <c r="C99" s="21" t="s">
        <v>595</v>
      </c>
      <c r="D99" s="24">
        <v>0</v>
      </c>
      <c r="E99" s="23" t="s">
        <v>199</v>
      </c>
    </row>
    <row r="100" spans="1:5" ht="31" x14ac:dyDescent="0.3">
      <c r="A100" s="18">
        <v>99</v>
      </c>
      <c r="B100" s="19" t="s">
        <v>716</v>
      </c>
      <c r="C100" s="21" t="s">
        <v>595</v>
      </c>
      <c r="D100" s="24">
        <v>0</v>
      </c>
      <c r="E100" s="23" t="s">
        <v>199</v>
      </c>
    </row>
    <row r="101" spans="1:5" ht="31" x14ac:dyDescent="0.3">
      <c r="A101" s="18">
        <v>100</v>
      </c>
      <c r="B101" s="19" t="s">
        <v>717</v>
      </c>
      <c r="C101" s="21" t="s">
        <v>595</v>
      </c>
      <c r="D101" s="24">
        <v>0</v>
      </c>
      <c r="E101" s="23" t="s">
        <v>199</v>
      </c>
    </row>
    <row r="102" spans="1:5" ht="31" x14ac:dyDescent="0.3">
      <c r="A102" s="18">
        <v>101</v>
      </c>
      <c r="B102" s="19" t="s">
        <v>718</v>
      </c>
      <c r="C102" s="21" t="s">
        <v>595</v>
      </c>
      <c r="D102" s="24">
        <v>0</v>
      </c>
      <c r="E102" s="23" t="s">
        <v>199</v>
      </c>
    </row>
    <row r="103" spans="1:5" ht="62" x14ac:dyDescent="0.3">
      <c r="A103" s="18">
        <v>102</v>
      </c>
      <c r="B103" s="19" t="s">
        <v>719</v>
      </c>
      <c r="C103" s="21" t="s">
        <v>720</v>
      </c>
      <c r="D103" s="24">
        <v>20</v>
      </c>
      <c r="E103" s="23" t="s">
        <v>199</v>
      </c>
    </row>
    <row r="104" spans="1:5" ht="62" x14ac:dyDescent="0.3">
      <c r="A104" s="18">
        <v>103</v>
      </c>
      <c r="B104" s="19" t="s">
        <v>721</v>
      </c>
      <c r="C104" s="21" t="s">
        <v>720</v>
      </c>
      <c r="D104" s="24">
        <v>20</v>
      </c>
      <c r="E104" s="23" t="s">
        <v>199</v>
      </c>
    </row>
    <row r="105" spans="1:5" ht="62" x14ac:dyDescent="0.3">
      <c r="A105" s="18">
        <v>104</v>
      </c>
      <c r="B105" s="21" t="s">
        <v>722</v>
      </c>
      <c r="C105" s="21" t="s">
        <v>723</v>
      </c>
      <c r="D105" s="24">
        <v>20</v>
      </c>
      <c r="E105" s="23" t="s">
        <v>199</v>
      </c>
    </row>
    <row r="106" spans="1:5" ht="46.5" x14ac:dyDescent="0.3">
      <c r="A106" s="18">
        <v>105</v>
      </c>
      <c r="B106" s="19" t="s">
        <v>724</v>
      </c>
      <c r="C106" s="21" t="s">
        <v>596</v>
      </c>
      <c r="D106" s="24">
        <v>0</v>
      </c>
      <c r="E106" s="23" t="s">
        <v>199</v>
      </c>
    </row>
    <row r="107" spans="1:5" ht="46.5" x14ac:dyDescent="0.3">
      <c r="A107" s="18">
        <v>106</v>
      </c>
      <c r="B107" s="19" t="s">
        <v>725</v>
      </c>
      <c r="C107" s="21" t="s">
        <v>596</v>
      </c>
      <c r="D107" s="24">
        <v>0</v>
      </c>
      <c r="E107" s="23" t="s">
        <v>199</v>
      </c>
    </row>
    <row r="108" spans="1:5" ht="46.5" x14ac:dyDescent="0.3">
      <c r="A108" s="18">
        <v>107</v>
      </c>
      <c r="B108" s="19" t="s">
        <v>726</v>
      </c>
      <c r="C108" s="21" t="s">
        <v>596</v>
      </c>
      <c r="D108" s="24">
        <v>0</v>
      </c>
      <c r="E108" s="23" t="s">
        <v>199</v>
      </c>
    </row>
    <row r="109" spans="1:5" ht="46.5" x14ac:dyDescent="0.3">
      <c r="A109" s="18">
        <v>108</v>
      </c>
      <c r="B109" s="19" t="s">
        <v>727</v>
      </c>
      <c r="C109" s="21" t="s">
        <v>596</v>
      </c>
      <c r="D109" s="24">
        <v>0</v>
      </c>
      <c r="E109" s="23" t="s">
        <v>199</v>
      </c>
    </row>
    <row r="110" spans="1:5" ht="46.5" x14ac:dyDescent="0.3">
      <c r="A110" s="18">
        <v>109</v>
      </c>
      <c r="B110" s="19" t="s">
        <v>728</v>
      </c>
      <c r="C110" s="21" t="s">
        <v>596</v>
      </c>
      <c r="D110" s="24">
        <v>0</v>
      </c>
      <c r="E110" s="23" t="s">
        <v>199</v>
      </c>
    </row>
    <row r="111" spans="1:5" ht="46.5" x14ac:dyDescent="0.3">
      <c r="A111" s="18">
        <v>110</v>
      </c>
      <c r="B111" s="19" t="s">
        <v>729</v>
      </c>
      <c r="C111" s="21" t="s">
        <v>596</v>
      </c>
      <c r="D111" s="24">
        <v>0</v>
      </c>
      <c r="E111" s="23" t="s">
        <v>199</v>
      </c>
    </row>
    <row r="112" spans="1:5" ht="46.5" x14ac:dyDescent="0.3">
      <c r="A112" s="18">
        <v>111</v>
      </c>
      <c r="B112" s="19" t="s">
        <v>730</v>
      </c>
      <c r="C112" s="21" t="s">
        <v>596</v>
      </c>
      <c r="D112" s="24">
        <v>0</v>
      </c>
      <c r="E112" s="23" t="s">
        <v>199</v>
      </c>
    </row>
    <row r="113" spans="1:5" ht="46.5" x14ac:dyDescent="0.3">
      <c r="A113" s="18">
        <v>112</v>
      </c>
      <c r="B113" s="19" t="s">
        <v>731</v>
      </c>
      <c r="C113" s="21" t="s">
        <v>596</v>
      </c>
      <c r="D113" s="24">
        <v>0</v>
      </c>
      <c r="E113" s="23" t="s">
        <v>199</v>
      </c>
    </row>
    <row r="114" spans="1:5" ht="46.5" x14ac:dyDescent="0.3">
      <c r="A114" s="18">
        <v>113</v>
      </c>
      <c r="B114" s="19" t="s">
        <v>732</v>
      </c>
      <c r="C114" s="21" t="s">
        <v>596</v>
      </c>
      <c r="D114" s="24">
        <v>0</v>
      </c>
      <c r="E114" s="23" t="s">
        <v>199</v>
      </c>
    </row>
    <row r="115" spans="1:5" ht="46.5" x14ac:dyDescent="0.3">
      <c r="A115" s="18">
        <v>114</v>
      </c>
      <c r="B115" s="19" t="s">
        <v>733</v>
      </c>
      <c r="C115" s="21" t="s">
        <v>596</v>
      </c>
      <c r="D115" s="24">
        <v>0</v>
      </c>
      <c r="E115" s="23" t="s">
        <v>199</v>
      </c>
    </row>
    <row r="116" spans="1:5" ht="46.5" x14ac:dyDescent="0.3">
      <c r="A116" s="18">
        <v>115</v>
      </c>
      <c r="B116" s="19" t="s">
        <v>734</v>
      </c>
      <c r="C116" s="21" t="s">
        <v>596</v>
      </c>
      <c r="D116" s="24">
        <v>0</v>
      </c>
      <c r="E116" s="23" t="s">
        <v>199</v>
      </c>
    </row>
    <row r="117" spans="1:5" ht="46.5" x14ac:dyDescent="0.3">
      <c r="A117" s="18">
        <v>116</v>
      </c>
      <c r="B117" s="19" t="s">
        <v>735</v>
      </c>
      <c r="C117" s="21" t="s">
        <v>596</v>
      </c>
      <c r="D117" s="24">
        <v>0</v>
      </c>
      <c r="E117" s="23" t="s">
        <v>199</v>
      </c>
    </row>
    <row r="118" spans="1:5" ht="46.5" x14ac:dyDescent="0.3">
      <c r="A118" s="18">
        <v>117</v>
      </c>
      <c r="B118" s="19" t="s">
        <v>736</v>
      </c>
      <c r="C118" s="21" t="s">
        <v>596</v>
      </c>
      <c r="D118" s="24">
        <v>0</v>
      </c>
      <c r="E118" s="23" t="s">
        <v>199</v>
      </c>
    </row>
    <row r="119" spans="1:5" ht="46.5" x14ac:dyDescent="0.3">
      <c r="A119" s="18">
        <v>118</v>
      </c>
      <c r="B119" s="19" t="s">
        <v>737</v>
      </c>
      <c r="C119" s="21" t="s">
        <v>596</v>
      </c>
      <c r="D119" s="24">
        <v>0</v>
      </c>
      <c r="E119" s="23" t="s">
        <v>199</v>
      </c>
    </row>
    <row r="120" spans="1:5" ht="46.5" x14ac:dyDescent="0.3">
      <c r="A120" s="18">
        <v>119</v>
      </c>
      <c r="B120" s="19" t="s">
        <v>738</v>
      </c>
      <c r="C120" s="21" t="s">
        <v>596</v>
      </c>
      <c r="D120" s="24">
        <v>0</v>
      </c>
      <c r="E120" s="23" t="s">
        <v>199</v>
      </c>
    </row>
    <row r="121" spans="1:5" ht="46.5" x14ac:dyDescent="0.3">
      <c r="A121" s="18">
        <v>120</v>
      </c>
      <c r="B121" s="19" t="s">
        <v>739</v>
      </c>
      <c r="C121" s="21" t="s">
        <v>596</v>
      </c>
      <c r="D121" s="24">
        <v>0</v>
      </c>
      <c r="E121" s="23" t="s">
        <v>199</v>
      </c>
    </row>
    <row r="122" spans="1:5" ht="46.5" x14ac:dyDescent="0.3">
      <c r="A122" s="18">
        <v>121</v>
      </c>
      <c r="B122" s="19" t="s">
        <v>740</v>
      </c>
      <c r="C122" s="21" t="s">
        <v>596</v>
      </c>
      <c r="D122" s="24">
        <v>0</v>
      </c>
      <c r="E122" s="23" t="s">
        <v>199</v>
      </c>
    </row>
    <row r="123" spans="1:5" ht="46.5" x14ac:dyDescent="0.3">
      <c r="A123" s="18">
        <v>122</v>
      </c>
      <c r="B123" s="19" t="s">
        <v>741</v>
      </c>
      <c r="C123" s="21" t="s">
        <v>596</v>
      </c>
      <c r="D123" s="24">
        <v>0</v>
      </c>
      <c r="E123" s="23" t="s">
        <v>199</v>
      </c>
    </row>
    <row r="124" spans="1:5" ht="46.5" x14ac:dyDescent="0.3">
      <c r="A124" s="18">
        <v>123</v>
      </c>
      <c r="B124" s="19" t="s">
        <v>742</v>
      </c>
      <c r="C124" s="21" t="s">
        <v>596</v>
      </c>
      <c r="D124" s="24">
        <v>0</v>
      </c>
      <c r="E124" s="23" t="s">
        <v>199</v>
      </c>
    </row>
    <row r="125" spans="1:5" ht="46.5" x14ac:dyDescent="0.3">
      <c r="A125" s="18">
        <v>124</v>
      </c>
      <c r="B125" s="19" t="s">
        <v>743</v>
      </c>
      <c r="C125" s="21" t="s">
        <v>596</v>
      </c>
      <c r="D125" s="24">
        <v>0</v>
      </c>
      <c r="E125" s="23" t="s">
        <v>199</v>
      </c>
    </row>
    <row r="126" spans="1:5" ht="46.5" x14ac:dyDescent="0.3">
      <c r="A126" s="18">
        <v>125</v>
      </c>
      <c r="B126" s="19" t="s">
        <v>744</v>
      </c>
      <c r="C126" s="21" t="s">
        <v>596</v>
      </c>
      <c r="D126" s="24">
        <v>0</v>
      </c>
      <c r="E126" s="23" t="s">
        <v>199</v>
      </c>
    </row>
    <row r="127" spans="1:5" ht="46.5" x14ac:dyDescent="0.3">
      <c r="A127" s="18">
        <v>126</v>
      </c>
      <c r="B127" s="19" t="s">
        <v>745</v>
      </c>
      <c r="C127" s="21" t="s">
        <v>596</v>
      </c>
      <c r="D127" s="24">
        <v>0</v>
      </c>
      <c r="E127" s="23" t="s">
        <v>199</v>
      </c>
    </row>
    <row r="128" spans="1:5" ht="46.5" x14ac:dyDescent="0.3">
      <c r="A128" s="18">
        <v>127</v>
      </c>
      <c r="B128" s="19" t="s">
        <v>746</v>
      </c>
      <c r="C128" s="21" t="s">
        <v>596</v>
      </c>
      <c r="D128" s="24">
        <v>0</v>
      </c>
      <c r="E128" s="23" t="s">
        <v>199</v>
      </c>
    </row>
    <row r="129" spans="1:5" ht="46.5" x14ac:dyDescent="0.3">
      <c r="A129" s="18">
        <v>128</v>
      </c>
      <c r="B129" s="19" t="s">
        <v>747</v>
      </c>
      <c r="C129" s="21" t="s">
        <v>596</v>
      </c>
      <c r="D129" s="24">
        <v>0</v>
      </c>
      <c r="E129" s="23" t="s">
        <v>199</v>
      </c>
    </row>
    <row r="130" spans="1:5" ht="46.5" x14ac:dyDescent="0.3">
      <c r="A130" s="18">
        <v>129</v>
      </c>
      <c r="B130" s="19" t="s">
        <v>748</v>
      </c>
      <c r="C130" s="21" t="s">
        <v>596</v>
      </c>
      <c r="D130" s="24">
        <v>0</v>
      </c>
      <c r="E130" s="23" t="s">
        <v>199</v>
      </c>
    </row>
    <row r="131" spans="1:5" ht="46.5" x14ac:dyDescent="0.3">
      <c r="A131" s="18">
        <v>130</v>
      </c>
      <c r="B131" s="19" t="s">
        <v>749</v>
      </c>
      <c r="C131" s="21" t="s">
        <v>596</v>
      </c>
      <c r="D131" s="24">
        <v>0</v>
      </c>
      <c r="E131" s="23" t="s">
        <v>199</v>
      </c>
    </row>
    <row r="132" spans="1:5" ht="46.5" x14ac:dyDescent="0.3">
      <c r="A132" s="18">
        <v>131</v>
      </c>
      <c r="B132" s="19" t="s">
        <v>750</v>
      </c>
      <c r="C132" s="21" t="s">
        <v>596</v>
      </c>
      <c r="D132" s="24">
        <v>0</v>
      </c>
      <c r="E132" s="23" t="s">
        <v>199</v>
      </c>
    </row>
    <row r="133" spans="1:5" ht="46.5" x14ac:dyDescent="0.3">
      <c r="A133" s="18">
        <v>132</v>
      </c>
      <c r="B133" s="19" t="s">
        <v>751</v>
      </c>
      <c r="C133" s="21" t="s">
        <v>596</v>
      </c>
      <c r="D133" s="24">
        <v>0</v>
      </c>
      <c r="E133" s="23" t="s">
        <v>199</v>
      </c>
    </row>
    <row r="134" spans="1:5" ht="46.5" x14ac:dyDescent="0.3">
      <c r="A134" s="18">
        <v>133</v>
      </c>
      <c r="B134" s="19" t="s">
        <v>752</v>
      </c>
      <c r="C134" s="21" t="s">
        <v>596</v>
      </c>
      <c r="D134" s="24">
        <v>0</v>
      </c>
      <c r="E134" s="23" t="s">
        <v>199</v>
      </c>
    </row>
    <row r="135" spans="1:5" ht="46.5" x14ac:dyDescent="0.3">
      <c r="A135" s="18">
        <v>134</v>
      </c>
      <c r="B135" s="19" t="s">
        <v>753</v>
      </c>
      <c r="C135" s="21" t="s">
        <v>596</v>
      </c>
      <c r="D135" s="24">
        <v>0</v>
      </c>
      <c r="E135" s="23" t="s">
        <v>199</v>
      </c>
    </row>
    <row r="136" spans="1:5" ht="46.5" x14ac:dyDescent="0.3">
      <c r="A136" s="18">
        <v>135</v>
      </c>
      <c r="B136" s="19" t="s">
        <v>754</v>
      </c>
      <c r="C136" s="21" t="s">
        <v>596</v>
      </c>
      <c r="D136" s="24">
        <v>0</v>
      </c>
      <c r="E136" s="23" t="s">
        <v>199</v>
      </c>
    </row>
    <row r="137" spans="1:5" ht="46.5" x14ac:dyDescent="0.3">
      <c r="A137" s="18">
        <v>136</v>
      </c>
      <c r="B137" s="19" t="s">
        <v>755</v>
      </c>
      <c r="C137" s="21" t="s">
        <v>596</v>
      </c>
      <c r="D137" s="24">
        <v>0</v>
      </c>
      <c r="E137" s="23" t="s">
        <v>199</v>
      </c>
    </row>
    <row r="138" spans="1:5" ht="46.5" x14ac:dyDescent="0.3">
      <c r="A138" s="18">
        <v>137</v>
      </c>
      <c r="B138" s="19" t="s">
        <v>756</v>
      </c>
      <c r="C138" s="21" t="s">
        <v>596</v>
      </c>
      <c r="D138" s="24">
        <v>0</v>
      </c>
      <c r="E138" s="23" t="s">
        <v>199</v>
      </c>
    </row>
    <row r="139" spans="1:5" ht="46.5" x14ac:dyDescent="0.3">
      <c r="A139" s="18">
        <v>138</v>
      </c>
      <c r="B139" s="19" t="s">
        <v>757</v>
      </c>
      <c r="C139" s="21" t="s">
        <v>596</v>
      </c>
      <c r="D139" s="24">
        <v>0</v>
      </c>
      <c r="E139" s="23" t="s">
        <v>199</v>
      </c>
    </row>
    <row r="140" spans="1:5" ht="46.5" x14ac:dyDescent="0.3">
      <c r="A140" s="18">
        <v>139</v>
      </c>
      <c r="B140" s="19" t="s">
        <v>758</v>
      </c>
      <c r="C140" s="21" t="s">
        <v>596</v>
      </c>
      <c r="D140" s="24">
        <v>0</v>
      </c>
      <c r="E140" s="23" t="s">
        <v>199</v>
      </c>
    </row>
    <row r="141" spans="1:5" ht="46.5" x14ac:dyDescent="0.3">
      <c r="A141" s="18">
        <v>140</v>
      </c>
      <c r="B141" s="19" t="s">
        <v>759</v>
      </c>
      <c r="C141" s="21" t="s">
        <v>596</v>
      </c>
      <c r="D141" s="24">
        <v>0</v>
      </c>
      <c r="E141" s="23" t="s">
        <v>199</v>
      </c>
    </row>
    <row r="142" spans="1:5" ht="46.5" x14ac:dyDescent="0.3">
      <c r="A142" s="18">
        <v>141</v>
      </c>
      <c r="B142" s="19" t="s">
        <v>760</v>
      </c>
      <c r="C142" s="21" t="s">
        <v>596</v>
      </c>
      <c r="D142" s="24">
        <v>0</v>
      </c>
      <c r="E142" s="23" t="s">
        <v>199</v>
      </c>
    </row>
    <row r="143" spans="1:5" ht="46.5" x14ac:dyDescent="0.3">
      <c r="A143" s="18">
        <v>142</v>
      </c>
      <c r="B143" s="19" t="s">
        <v>761</v>
      </c>
      <c r="C143" s="21" t="s">
        <v>596</v>
      </c>
      <c r="D143" s="24">
        <v>0</v>
      </c>
      <c r="E143" s="23" t="s">
        <v>199</v>
      </c>
    </row>
    <row r="144" spans="1:5" ht="46.5" x14ac:dyDescent="0.3">
      <c r="A144" s="18">
        <v>143</v>
      </c>
      <c r="B144" s="19" t="s">
        <v>762</v>
      </c>
      <c r="C144" s="21" t="s">
        <v>596</v>
      </c>
      <c r="D144" s="24">
        <v>0</v>
      </c>
      <c r="E144" s="23" t="s">
        <v>199</v>
      </c>
    </row>
    <row r="145" spans="1:5" ht="46.5" x14ac:dyDescent="0.3">
      <c r="A145" s="18">
        <v>144</v>
      </c>
      <c r="B145" s="19" t="s">
        <v>763</v>
      </c>
      <c r="C145" s="21" t="s">
        <v>596</v>
      </c>
      <c r="D145" s="24">
        <v>0</v>
      </c>
      <c r="E145" s="23" t="s">
        <v>199</v>
      </c>
    </row>
    <row r="146" spans="1:5" ht="46.5" x14ac:dyDescent="0.3">
      <c r="A146" s="18">
        <v>145</v>
      </c>
      <c r="B146" s="19" t="s">
        <v>764</v>
      </c>
      <c r="C146" s="21" t="s">
        <v>596</v>
      </c>
      <c r="D146" s="24">
        <v>0</v>
      </c>
      <c r="E146" s="23" t="s">
        <v>199</v>
      </c>
    </row>
    <row r="147" spans="1:5" ht="46.5" x14ac:dyDescent="0.3">
      <c r="A147" s="18">
        <v>146</v>
      </c>
      <c r="B147" s="19" t="s">
        <v>765</v>
      </c>
      <c r="C147" s="21" t="s">
        <v>596</v>
      </c>
      <c r="D147" s="24">
        <v>0</v>
      </c>
      <c r="E147" s="23" t="s">
        <v>199</v>
      </c>
    </row>
    <row r="148" spans="1:5" ht="46.5" x14ac:dyDescent="0.3">
      <c r="A148" s="18">
        <v>147</v>
      </c>
      <c r="B148" s="19" t="s">
        <v>766</v>
      </c>
      <c r="C148" s="21" t="s">
        <v>596</v>
      </c>
      <c r="D148" s="24">
        <v>0</v>
      </c>
      <c r="E148" s="23" t="s">
        <v>199</v>
      </c>
    </row>
    <row r="149" spans="1:5" ht="46.5" x14ac:dyDescent="0.3">
      <c r="A149" s="18">
        <v>148</v>
      </c>
      <c r="B149" s="19" t="s">
        <v>767</v>
      </c>
      <c r="C149" s="21" t="s">
        <v>596</v>
      </c>
      <c r="D149" s="24">
        <v>0</v>
      </c>
      <c r="E149" s="23" t="s">
        <v>199</v>
      </c>
    </row>
    <row r="150" spans="1:5" ht="46.5" x14ac:dyDescent="0.3">
      <c r="A150" s="18">
        <v>149</v>
      </c>
      <c r="B150" s="19" t="s">
        <v>768</v>
      </c>
      <c r="C150" s="21" t="s">
        <v>596</v>
      </c>
      <c r="D150" s="24">
        <v>0</v>
      </c>
      <c r="E150" s="23" t="s">
        <v>199</v>
      </c>
    </row>
    <row r="151" spans="1:5" ht="46.5" x14ac:dyDescent="0.3">
      <c r="A151" s="18">
        <v>150</v>
      </c>
      <c r="B151" s="19" t="s">
        <v>769</v>
      </c>
      <c r="C151" s="21" t="s">
        <v>596</v>
      </c>
      <c r="D151" s="24">
        <v>0</v>
      </c>
      <c r="E151" s="23" t="s">
        <v>199</v>
      </c>
    </row>
    <row r="152" spans="1:5" ht="46.5" x14ac:dyDescent="0.3">
      <c r="A152" s="18">
        <v>151</v>
      </c>
      <c r="B152" s="19" t="s">
        <v>770</v>
      </c>
      <c r="C152" s="21" t="s">
        <v>596</v>
      </c>
      <c r="D152" s="24">
        <v>0</v>
      </c>
      <c r="E152" s="23" t="s">
        <v>199</v>
      </c>
    </row>
    <row r="153" spans="1:5" ht="46.5" x14ac:dyDescent="0.3">
      <c r="A153" s="18">
        <v>152</v>
      </c>
      <c r="B153" s="19" t="s">
        <v>771</v>
      </c>
      <c r="C153" s="21" t="s">
        <v>596</v>
      </c>
      <c r="D153" s="24">
        <v>0</v>
      </c>
      <c r="E153" s="23" t="s">
        <v>199</v>
      </c>
    </row>
    <row r="154" spans="1:5" ht="46.5" x14ac:dyDescent="0.3">
      <c r="A154" s="18">
        <v>153</v>
      </c>
      <c r="B154" s="19" t="s">
        <v>772</v>
      </c>
      <c r="C154" s="21" t="s">
        <v>596</v>
      </c>
      <c r="D154" s="24">
        <v>0</v>
      </c>
      <c r="E154" s="23" t="s">
        <v>199</v>
      </c>
    </row>
    <row r="155" spans="1:5" ht="46.5" x14ac:dyDescent="0.3">
      <c r="A155" s="18">
        <v>154</v>
      </c>
      <c r="B155" s="19" t="s">
        <v>773</v>
      </c>
      <c r="C155" s="21" t="s">
        <v>596</v>
      </c>
      <c r="D155" s="24">
        <v>0</v>
      </c>
      <c r="E155" s="23" t="s">
        <v>199</v>
      </c>
    </row>
    <row r="156" spans="1:5" ht="46.5" x14ac:dyDescent="0.3">
      <c r="A156" s="18">
        <v>155</v>
      </c>
      <c r="B156" s="19" t="s">
        <v>774</v>
      </c>
      <c r="C156" s="21" t="s">
        <v>596</v>
      </c>
      <c r="D156" s="24">
        <v>0</v>
      </c>
      <c r="E156" s="23" t="s">
        <v>199</v>
      </c>
    </row>
    <row r="157" spans="1:5" ht="46.5" x14ac:dyDescent="0.3">
      <c r="A157" s="18">
        <v>156</v>
      </c>
      <c r="B157" s="19" t="s">
        <v>775</v>
      </c>
      <c r="C157" s="21" t="s">
        <v>596</v>
      </c>
      <c r="D157" s="24">
        <v>0</v>
      </c>
      <c r="E157" s="23" t="s">
        <v>199</v>
      </c>
    </row>
    <row r="158" spans="1:5" ht="46.5" x14ac:dyDescent="0.3">
      <c r="A158" s="18">
        <v>157</v>
      </c>
      <c r="B158" s="19" t="s">
        <v>776</v>
      </c>
      <c r="C158" s="21" t="s">
        <v>596</v>
      </c>
      <c r="D158" s="24">
        <v>0</v>
      </c>
      <c r="E158" s="23" t="s">
        <v>199</v>
      </c>
    </row>
    <row r="159" spans="1:5" ht="46.5" x14ac:dyDescent="0.3">
      <c r="A159" s="18">
        <v>158</v>
      </c>
      <c r="B159" s="19" t="s">
        <v>777</v>
      </c>
      <c r="C159" s="21" t="s">
        <v>596</v>
      </c>
      <c r="D159" s="24">
        <v>0</v>
      </c>
      <c r="E159" s="23" t="s">
        <v>199</v>
      </c>
    </row>
    <row r="160" spans="1:5" ht="46.5" x14ac:dyDescent="0.3">
      <c r="A160" s="18">
        <v>159</v>
      </c>
      <c r="B160" s="19" t="s">
        <v>778</v>
      </c>
      <c r="C160" s="21" t="s">
        <v>596</v>
      </c>
      <c r="D160" s="24">
        <v>0</v>
      </c>
      <c r="E160" s="23" t="s">
        <v>199</v>
      </c>
    </row>
    <row r="161" spans="1:5" ht="46.5" x14ac:dyDescent="0.3">
      <c r="A161" s="18">
        <v>160</v>
      </c>
      <c r="B161" s="19" t="s">
        <v>779</v>
      </c>
      <c r="C161" s="21" t="s">
        <v>596</v>
      </c>
      <c r="D161" s="24">
        <v>0</v>
      </c>
      <c r="E161" s="23" t="s">
        <v>199</v>
      </c>
    </row>
    <row r="162" spans="1:5" ht="46.5" x14ac:dyDescent="0.3">
      <c r="A162" s="18">
        <v>161</v>
      </c>
      <c r="B162" s="19" t="s">
        <v>780</v>
      </c>
      <c r="C162" s="21" t="s">
        <v>596</v>
      </c>
      <c r="D162" s="24">
        <v>0</v>
      </c>
      <c r="E162" s="23" t="s">
        <v>199</v>
      </c>
    </row>
    <row r="163" spans="1:5" ht="46.5" x14ac:dyDescent="0.3">
      <c r="A163" s="18">
        <v>162</v>
      </c>
      <c r="B163" s="19" t="s">
        <v>781</v>
      </c>
      <c r="C163" s="21" t="s">
        <v>596</v>
      </c>
      <c r="D163" s="24">
        <v>0</v>
      </c>
      <c r="E163" s="23" t="s">
        <v>199</v>
      </c>
    </row>
    <row r="164" spans="1:5" ht="46.5" x14ac:dyDescent="0.3">
      <c r="A164" s="18">
        <v>163</v>
      </c>
      <c r="B164" s="19" t="s">
        <v>782</v>
      </c>
      <c r="C164" s="21" t="s">
        <v>596</v>
      </c>
      <c r="D164" s="24">
        <v>0</v>
      </c>
      <c r="E164" s="23" t="s">
        <v>199</v>
      </c>
    </row>
    <row r="165" spans="1:5" ht="46.5" x14ac:dyDescent="0.3">
      <c r="A165" s="18">
        <v>164</v>
      </c>
      <c r="B165" s="19" t="s">
        <v>783</v>
      </c>
      <c r="C165" s="21" t="s">
        <v>596</v>
      </c>
      <c r="D165" s="24">
        <v>0</v>
      </c>
      <c r="E165" s="23" t="s">
        <v>199</v>
      </c>
    </row>
    <row r="166" spans="1:5" ht="46.5" x14ac:dyDescent="0.3">
      <c r="A166" s="18">
        <v>165</v>
      </c>
      <c r="B166" s="19" t="s">
        <v>784</v>
      </c>
      <c r="C166" s="21" t="s">
        <v>596</v>
      </c>
      <c r="D166" s="24">
        <v>0</v>
      </c>
      <c r="E166" s="23" t="s">
        <v>199</v>
      </c>
    </row>
    <row r="167" spans="1:5" ht="46.5" x14ac:dyDescent="0.3">
      <c r="A167" s="18">
        <v>166</v>
      </c>
      <c r="B167" s="19" t="s">
        <v>785</v>
      </c>
      <c r="C167" s="21" t="s">
        <v>596</v>
      </c>
      <c r="D167" s="24">
        <v>0</v>
      </c>
      <c r="E167" s="23" t="s">
        <v>199</v>
      </c>
    </row>
    <row r="168" spans="1:5" ht="46.5" x14ac:dyDescent="0.3">
      <c r="A168" s="18">
        <v>167</v>
      </c>
      <c r="B168" s="19" t="s">
        <v>786</v>
      </c>
      <c r="C168" s="21" t="s">
        <v>596</v>
      </c>
      <c r="D168" s="24">
        <v>0</v>
      </c>
      <c r="E168" s="23" t="s">
        <v>199</v>
      </c>
    </row>
    <row r="169" spans="1:5" ht="46.5" x14ac:dyDescent="0.3">
      <c r="A169" s="18">
        <v>168</v>
      </c>
      <c r="B169" s="19" t="s">
        <v>787</v>
      </c>
      <c r="C169" s="21" t="s">
        <v>596</v>
      </c>
      <c r="D169" s="24">
        <v>0</v>
      </c>
      <c r="E169" s="23" t="s">
        <v>199</v>
      </c>
    </row>
    <row r="170" spans="1:5" ht="46.5" x14ac:dyDescent="0.3">
      <c r="A170" s="18">
        <v>169</v>
      </c>
      <c r="B170" s="19" t="s">
        <v>788</v>
      </c>
      <c r="C170" s="21" t="s">
        <v>596</v>
      </c>
      <c r="D170" s="24">
        <v>0</v>
      </c>
      <c r="E170" s="23" t="s">
        <v>199</v>
      </c>
    </row>
    <row r="171" spans="1:5" ht="46.5" x14ac:dyDescent="0.3">
      <c r="A171" s="18">
        <v>170</v>
      </c>
      <c r="B171" s="19" t="s">
        <v>789</v>
      </c>
      <c r="C171" s="21" t="s">
        <v>596</v>
      </c>
      <c r="D171" s="24">
        <v>0</v>
      </c>
      <c r="E171" s="23" t="s">
        <v>199</v>
      </c>
    </row>
    <row r="172" spans="1:5" ht="46.5" x14ac:dyDescent="0.3">
      <c r="A172" s="18">
        <v>171</v>
      </c>
      <c r="B172" s="19" t="s">
        <v>790</v>
      </c>
      <c r="C172" s="21" t="s">
        <v>596</v>
      </c>
      <c r="D172" s="24">
        <v>0</v>
      </c>
      <c r="E172" s="23" t="s">
        <v>199</v>
      </c>
    </row>
    <row r="173" spans="1:5" ht="46.5" x14ac:dyDescent="0.3">
      <c r="A173" s="18">
        <v>172</v>
      </c>
      <c r="B173" s="19" t="s">
        <v>791</v>
      </c>
      <c r="C173" s="21" t="s">
        <v>596</v>
      </c>
      <c r="D173" s="24">
        <v>0</v>
      </c>
      <c r="E173" s="23" t="s">
        <v>199</v>
      </c>
    </row>
    <row r="174" spans="1:5" ht="46.5" x14ac:dyDescent="0.3">
      <c r="A174" s="18">
        <v>173</v>
      </c>
      <c r="B174" s="19" t="s">
        <v>792</v>
      </c>
      <c r="C174" s="21" t="s">
        <v>596</v>
      </c>
      <c r="D174" s="24">
        <v>0</v>
      </c>
      <c r="E174" s="23" t="s">
        <v>199</v>
      </c>
    </row>
    <row r="175" spans="1:5" ht="46.5" x14ac:dyDescent="0.3">
      <c r="A175" s="18">
        <v>174</v>
      </c>
      <c r="B175" s="19" t="s">
        <v>793</v>
      </c>
      <c r="C175" s="21" t="s">
        <v>596</v>
      </c>
      <c r="D175" s="24">
        <v>0</v>
      </c>
      <c r="E175" s="23" t="s">
        <v>199</v>
      </c>
    </row>
    <row r="176" spans="1:5" ht="46.5" x14ac:dyDescent="0.3">
      <c r="A176" s="18">
        <v>175</v>
      </c>
      <c r="B176" s="19" t="s">
        <v>794</v>
      </c>
      <c r="C176" s="21" t="s">
        <v>596</v>
      </c>
      <c r="D176" s="24">
        <v>0</v>
      </c>
      <c r="E176" s="23" t="s">
        <v>199</v>
      </c>
    </row>
    <row r="177" spans="1:5" ht="46.5" x14ac:dyDescent="0.3">
      <c r="A177" s="18">
        <v>176</v>
      </c>
      <c r="B177" s="19" t="s">
        <v>795</v>
      </c>
      <c r="C177" s="21" t="s">
        <v>596</v>
      </c>
      <c r="D177" s="24">
        <v>0</v>
      </c>
      <c r="E177" s="23" t="s">
        <v>199</v>
      </c>
    </row>
    <row r="178" spans="1:5" ht="46.5" x14ac:dyDescent="0.3">
      <c r="A178" s="18">
        <v>177</v>
      </c>
      <c r="B178" s="19" t="s">
        <v>796</v>
      </c>
      <c r="C178" s="21" t="s">
        <v>596</v>
      </c>
      <c r="D178" s="24">
        <v>0</v>
      </c>
      <c r="E178" s="23" t="s">
        <v>199</v>
      </c>
    </row>
    <row r="179" spans="1:5" ht="46.5" x14ac:dyDescent="0.3">
      <c r="A179" s="18">
        <v>178</v>
      </c>
      <c r="B179" s="19" t="s">
        <v>797</v>
      </c>
      <c r="C179" s="21" t="s">
        <v>596</v>
      </c>
      <c r="D179" s="24">
        <v>0</v>
      </c>
      <c r="E179" s="23" t="s">
        <v>199</v>
      </c>
    </row>
    <row r="180" spans="1:5" ht="46.5" x14ac:dyDescent="0.3">
      <c r="A180" s="18">
        <v>179</v>
      </c>
      <c r="B180" s="19" t="s">
        <v>798</v>
      </c>
      <c r="C180" s="21" t="s">
        <v>596</v>
      </c>
      <c r="D180" s="24">
        <v>0</v>
      </c>
      <c r="E180" s="23" t="s">
        <v>199</v>
      </c>
    </row>
    <row r="181" spans="1:5" ht="46.5" x14ac:dyDescent="0.3">
      <c r="A181" s="18">
        <v>180</v>
      </c>
      <c r="B181" s="19" t="s">
        <v>799</v>
      </c>
      <c r="C181" s="21" t="s">
        <v>596</v>
      </c>
      <c r="D181" s="24">
        <v>0</v>
      </c>
      <c r="E181" s="23" t="s">
        <v>199</v>
      </c>
    </row>
    <row r="182" spans="1:5" ht="46.5" x14ac:dyDescent="0.3">
      <c r="A182" s="18">
        <v>181</v>
      </c>
      <c r="B182" s="19" t="s">
        <v>800</v>
      </c>
      <c r="C182" s="21" t="s">
        <v>596</v>
      </c>
      <c r="D182" s="24">
        <v>0</v>
      </c>
      <c r="E182" s="23" t="s">
        <v>199</v>
      </c>
    </row>
    <row r="183" spans="1:5" ht="46.5" x14ac:dyDescent="0.3">
      <c r="A183" s="18">
        <v>182</v>
      </c>
      <c r="B183" s="19" t="s">
        <v>801</v>
      </c>
      <c r="C183" s="21" t="s">
        <v>596</v>
      </c>
      <c r="D183" s="24">
        <v>0</v>
      </c>
      <c r="E183" s="23" t="s">
        <v>199</v>
      </c>
    </row>
    <row r="184" spans="1:5" ht="46.5" x14ac:dyDescent="0.3">
      <c r="A184" s="18">
        <v>183</v>
      </c>
      <c r="B184" s="19" t="s">
        <v>802</v>
      </c>
      <c r="C184" s="21" t="s">
        <v>596</v>
      </c>
      <c r="D184" s="24">
        <v>0</v>
      </c>
      <c r="E184" s="23" t="s">
        <v>199</v>
      </c>
    </row>
    <row r="185" spans="1:5" ht="46.5" x14ac:dyDescent="0.3">
      <c r="A185" s="18">
        <v>184</v>
      </c>
      <c r="B185" s="19" t="s">
        <v>803</v>
      </c>
      <c r="C185" s="21" t="s">
        <v>596</v>
      </c>
      <c r="D185" s="24">
        <v>0</v>
      </c>
      <c r="E185" s="23" t="s">
        <v>199</v>
      </c>
    </row>
    <row r="186" spans="1:5" ht="46.5" x14ac:dyDescent="0.3">
      <c r="A186" s="18">
        <v>185</v>
      </c>
      <c r="B186" s="19" t="s">
        <v>804</v>
      </c>
      <c r="C186" s="21" t="s">
        <v>596</v>
      </c>
      <c r="D186" s="24">
        <v>0</v>
      </c>
      <c r="E186" s="23" t="s">
        <v>199</v>
      </c>
    </row>
    <row r="187" spans="1:5" ht="46.5" x14ac:dyDescent="0.3">
      <c r="A187" s="18">
        <v>186</v>
      </c>
      <c r="B187" s="19" t="s">
        <v>805</v>
      </c>
      <c r="C187" s="21" t="s">
        <v>596</v>
      </c>
      <c r="D187" s="24">
        <v>0</v>
      </c>
      <c r="E187" s="23" t="s">
        <v>199</v>
      </c>
    </row>
    <row r="188" spans="1:5" ht="46.5" x14ac:dyDescent="0.3">
      <c r="A188" s="18">
        <v>187</v>
      </c>
      <c r="B188" s="19" t="s">
        <v>806</v>
      </c>
      <c r="C188" s="21" t="s">
        <v>596</v>
      </c>
      <c r="D188" s="24">
        <v>0</v>
      </c>
      <c r="E188" s="23" t="s">
        <v>199</v>
      </c>
    </row>
    <row r="189" spans="1:5" ht="46.5" x14ac:dyDescent="0.3">
      <c r="A189" s="18">
        <v>188</v>
      </c>
      <c r="B189" s="19" t="s">
        <v>807</v>
      </c>
      <c r="C189" s="21" t="s">
        <v>596</v>
      </c>
      <c r="D189" s="24">
        <v>0</v>
      </c>
      <c r="E189" s="23" t="s">
        <v>199</v>
      </c>
    </row>
    <row r="190" spans="1:5" ht="46.5" x14ac:dyDescent="0.3">
      <c r="A190" s="18">
        <v>189</v>
      </c>
      <c r="B190" s="19" t="s">
        <v>808</v>
      </c>
      <c r="C190" s="21" t="s">
        <v>596</v>
      </c>
      <c r="D190" s="24">
        <v>0</v>
      </c>
      <c r="E190" s="23" t="s">
        <v>199</v>
      </c>
    </row>
    <row r="191" spans="1:5" ht="46.5" x14ac:dyDescent="0.3">
      <c r="A191" s="18">
        <v>190</v>
      </c>
      <c r="B191" s="19" t="s">
        <v>809</v>
      </c>
      <c r="C191" s="21" t="s">
        <v>596</v>
      </c>
      <c r="D191" s="24">
        <v>0</v>
      </c>
      <c r="E191" s="23" t="s">
        <v>199</v>
      </c>
    </row>
    <row r="192" spans="1:5" ht="46.5" x14ac:dyDescent="0.3">
      <c r="A192" s="18">
        <v>191</v>
      </c>
      <c r="B192" s="19" t="s">
        <v>810</v>
      </c>
      <c r="C192" s="21" t="s">
        <v>596</v>
      </c>
      <c r="D192" s="24">
        <v>0</v>
      </c>
      <c r="E192" s="23" t="s">
        <v>199</v>
      </c>
    </row>
    <row r="193" spans="1:5" ht="46.5" x14ac:dyDescent="0.3">
      <c r="A193" s="18">
        <v>192</v>
      </c>
      <c r="B193" s="19" t="s">
        <v>811</v>
      </c>
      <c r="C193" s="21" t="s">
        <v>596</v>
      </c>
      <c r="D193" s="24">
        <v>0</v>
      </c>
      <c r="E193" s="23" t="s">
        <v>199</v>
      </c>
    </row>
    <row r="194" spans="1:5" ht="46.5" x14ac:dyDescent="0.3">
      <c r="A194" s="18">
        <v>193</v>
      </c>
      <c r="B194" s="19" t="s">
        <v>812</v>
      </c>
      <c r="C194" s="21" t="s">
        <v>596</v>
      </c>
      <c r="D194" s="24">
        <v>0</v>
      </c>
      <c r="E194" s="23" t="s">
        <v>199</v>
      </c>
    </row>
    <row r="195" spans="1:5" ht="46.5" x14ac:dyDescent="0.3">
      <c r="A195" s="18">
        <v>194</v>
      </c>
      <c r="B195" s="19" t="s">
        <v>813</v>
      </c>
      <c r="C195" s="21" t="s">
        <v>596</v>
      </c>
      <c r="D195" s="24">
        <v>0</v>
      </c>
      <c r="E195" s="23" t="s">
        <v>199</v>
      </c>
    </row>
    <row r="196" spans="1:5" ht="46.5" x14ac:dyDescent="0.3">
      <c r="A196" s="18">
        <v>195</v>
      </c>
      <c r="B196" s="19" t="s">
        <v>814</v>
      </c>
      <c r="C196" s="21" t="s">
        <v>596</v>
      </c>
      <c r="D196" s="24">
        <v>0</v>
      </c>
      <c r="E196" s="23" t="s">
        <v>199</v>
      </c>
    </row>
    <row r="197" spans="1:5" ht="46.5" x14ac:dyDescent="0.3">
      <c r="A197" s="18">
        <v>196</v>
      </c>
      <c r="B197" s="19" t="s">
        <v>815</v>
      </c>
      <c r="C197" s="21" t="s">
        <v>596</v>
      </c>
      <c r="D197" s="24">
        <v>0</v>
      </c>
      <c r="E197" s="23" t="s">
        <v>199</v>
      </c>
    </row>
    <row r="198" spans="1:5" ht="46.5" x14ac:dyDescent="0.3">
      <c r="A198" s="18">
        <v>197</v>
      </c>
      <c r="B198" s="19" t="s">
        <v>816</v>
      </c>
      <c r="C198" s="21" t="s">
        <v>596</v>
      </c>
      <c r="D198" s="24">
        <v>0</v>
      </c>
      <c r="E198" s="23" t="s">
        <v>199</v>
      </c>
    </row>
    <row r="199" spans="1:5" ht="46.5" x14ac:dyDescent="0.3">
      <c r="A199" s="18">
        <v>198</v>
      </c>
      <c r="B199" s="19" t="s">
        <v>817</v>
      </c>
      <c r="C199" s="21" t="s">
        <v>596</v>
      </c>
      <c r="D199" s="24">
        <v>0</v>
      </c>
      <c r="E199" s="23" t="s">
        <v>199</v>
      </c>
    </row>
    <row r="200" spans="1:5" ht="46.5" x14ac:dyDescent="0.3">
      <c r="A200" s="18">
        <v>199</v>
      </c>
      <c r="B200" s="19" t="s">
        <v>818</v>
      </c>
      <c r="C200" s="21" t="s">
        <v>596</v>
      </c>
      <c r="D200" s="24">
        <v>0</v>
      </c>
      <c r="E200" s="23" t="s">
        <v>199</v>
      </c>
    </row>
    <row r="201" spans="1:5" ht="46.5" x14ac:dyDescent="0.3">
      <c r="A201" s="18">
        <v>200</v>
      </c>
      <c r="B201" s="19" t="s">
        <v>819</v>
      </c>
      <c r="C201" s="21" t="s">
        <v>596</v>
      </c>
      <c r="D201" s="24">
        <v>0</v>
      </c>
      <c r="E201" s="23" t="s">
        <v>199</v>
      </c>
    </row>
    <row r="202" spans="1:5" ht="46.5" x14ac:dyDescent="0.3">
      <c r="A202" s="18">
        <v>201</v>
      </c>
      <c r="B202" s="19" t="s">
        <v>820</v>
      </c>
      <c r="C202" s="21" t="s">
        <v>596</v>
      </c>
      <c r="D202" s="24">
        <v>0</v>
      </c>
      <c r="E202" s="23" t="s">
        <v>199</v>
      </c>
    </row>
    <row r="203" spans="1:5" ht="46.5" x14ac:dyDescent="0.3">
      <c r="A203" s="18">
        <v>202</v>
      </c>
      <c r="B203" s="19" t="s">
        <v>821</v>
      </c>
      <c r="C203" s="21" t="s">
        <v>596</v>
      </c>
      <c r="D203" s="24">
        <v>0</v>
      </c>
      <c r="E203" s="23" t="s">
        <v>199</v>
      </c>
    </row>
    <row r="204" spans="1:5" ht="46.5" x14ac:dyDescent="0.3">
      <c r="A204" s="18">
        <v>203</v>
      </c>
      <c r="B204" s="19" t="s">
        <v>822</v>
      </c>
      <c r="C204" s="21" t="s">
        <v>596</v>
      </c>
      <c r="D204" s="24">
        <v>0</v>
      </c>
      <c r="E204" s="23" t="s">
        <v>199</v>
      </c>
    </row>
    <row r="205" spans="1:5" ht="46.5" x14ac:dyDescent="0.3">
      <c r="A205" s="18">
        <v>204</v>
      </c>
      <c r="B205" s="19" t="s">
        <v>823</v>
      </c>
      <c r="C205" s="21" t="s">
        <v>596</v>
      </c>
      <c r="D205" s="24">
        <v>0</v>
      </c>
      <c r="E205" s="23" t="s">
        <v>199</v>
      </c>
    </row>
    <row r="206" spans="1:5" ht="46.5" x14ac:dyDescent="0.3">
      <c r="A206" s="18">
        <v>205</v>
      </c>
      <c r="B206" s="19" t="s">
        <v>824</v>
      </c>
      <c r="C206" s="21" t="s">
        <v>596</v>
      </c>
      <c r="D206" s="24">
        <v>0</v>
      </c>
      <c r="E206" s="23" t="s">
        <v>199</v>
      </c>
    </row>
    <row r="207" spans="1:5" ht="46.5" x14ac:dyDescent="0.3">
      <c r="A207" s="18">
        <v>206</v>
      </c>
      <c r="B207" s="19" t="s">
        <v>825</v>
      </c>
      <c r="C207" s="21" t="s">
        <v>596</v>
      </c>
      <c r="D207" s="24">
        <v>0</v>
      </c>
      <c r="E207" s="23" t="s">
        <v>199</v>
      </c>
    </row>
    <row r="208" spans="1:5" ht="46.5" x14ac:dyDescent="0.3">
      <c r="A208" s="18">
        <v>207</v>
      </c>
      <c r="B208" s="19" t="s">
        <v>826</v>
      </c>
      <c r="C208" s="21" t="s">
        <v>596</v>
      </c>
      <c r="D208" s="24">
        <v>0</v>
      </c>
      <c r="E208" s="23" t="s">
        <v>199</v>
      </c>
    </row>
    <row r="209" spans="1:5" ht="46.5" x14ac:dyDescent="0.3">
      <c r="A209" s="18">
        <v>208</v>
      </c>
      <c r="B209" s="19" t="s">
        <v>827</v>
      </c>
      <c r="C209" s="21" t="s">
        <v>596</v>
      </c>
      <c r="D209" s="24">
        <v>0</v>
      </c>
      <c r="E209" s="23" t="s">
        <v>199</v>
      </c>
    </row>
    <row r="210" spans="1:5" ht="46.5" x14ac:dyDescent="0.3">
      <c r="A210" s="18">
        <v>209</v>
      </c>
      <c r="B210" s="19" t="s">
        <v>828</v>
      </c>
      <c r="C210" s="21" t="s">
        <v>596</v>
      </c>
      <c r="D210" s="24">
        <v>0</v>
      </c>
      <c r="E210" s="23" t="s">
        <v>199</v>
      </c>
    </row>
    <row r="211" spans="1:5" ht="46.5" x14ac:dyDescent="0.3">
      <c r="A211" s="18">
        <v>210</v>
      </c>
      <c r="B211" s="19" t="s">
        <v>829</v>
      </c>
      <c r="C211" s="21" t="s">
        <v>596</v>
      </c>
      <c r="D211" s="24">
        <v>0</v>
      </c>
      <c r="E211" s="23" t="s">
        <v>199</v>
      </c>
    </row>
    <row r="212" spans="1:5" ht="46.5" x14ac:dyDescent="0.3">
      <c r="A212" s="18">
        <v>211</v>
      </c>
      <c r="B212" s="19" t="s">
        <v>830</v>
      </c>
      <c r="C212" s="21" t="s">
        <v>596</v>
      </c>
      <c r="D212" s="24">
        <v>0</v>
      </c>
      <c r="E212" s="23" t="s">
        <v>199</v>
      </c>
    </row>
    <row r="213" spans="1:5" ht="46.5" x14ac:dyDescent="0.3">
      <c r="A213" s="18">
        <v>212</v>
      </c>
      <c r="B213" s="19" t="s">
        <v>831</v>
      </c>
      <c r="C213" s="21" t="s">
        <v>596</v>
      </c>
      <c r="D213" s="24">
        <v>0</v>
      </c>
      <c r="E213" s="23" t="s">
        <v>199</v>
      </c>
    </row>
    <row r="214" spans="1:5" ht="46.5" x14ac:dyDescent="0.3">
      <c r="A214" s="18">
        <v>213</v>
      </c>
      <c r="B214" s="19" t="s">
        <v>832</v>
      </c>
      <c r="C214" s="21" t="s">
        <v>596</v>
      </c>
      <c r="D214" s="24">
        <v>0</v>
      </c>
      <c r="E214" s="23" t="s">
        <v>199</v>
      </c>
    </row>
    <row r="215" spans="1:5" ht="46.5" x14ac:dyDescent="0.3">
      <c r="A215" s="18">
        <v>214</v>
      </c>
      <c r="B215" s="19" t="s">
        <v>833</v>
      </c>
      <c r="C215" s="21" t="s">
        <v>596</v>
      </c>
      <c r="D215" s="24">
        <v>0</v>
      </c>
      <c r="E215" s="23" t="s">
        <v>199</v>
      </c>
    </row>
    <row r="216" spans="1:5" ht="46.5" x14ac:dyDescent="0.3">
      <c r="A216" s="18">
        <v>215</v>
      </c>
      <c r="B216" s="19" t="s">
        <v>834</v>
      </c>
      <c r="C216" s="21" t="s">
        <v>596</v>
      </c>
      <c r="D216" s="24">
        <v>0</v>
      </c>
      <c r="E216" s="23" t="s">
        <v>199</v>
      </c>
    </row>
    <row r="217" spans="1:5" ht="46.5" x14ac:dyDescent="0.3">
      <c r="A217" s="18">
        <v>216</v>
      </c>
      <c r="B217" s="19" t="s">
        <v>835</v>
      </c>
      <c r="C217" s="21" t="s">
        <v>596</v>
      </c>
      <c r="D217" s="24">
        <v>0</v>
      </c>
      <c r="E217" s="23" t="s">
        <v>199</v>
      </c>
    </row>
    <row r="218" spans="1:5" ht="46.5" x14ac:dyDescent="0.3">
      <c r="A218" s="18">
        <v>217</v>
      </c>
      <c r="B218" s="19" t="s">
        <v>836</v>
      </c>
      <c r="C218" s="21" t="s">
        <v>596</v>
      </c>
      <c r="D218" s="24">
        <v>0</v>
      </c>
      <c r="E218" s="23" t="s">
        <v>199</v>
      </c>
    </row>
    <row r="219" spans="1:5" ht="46.5" x14ac:dyDescent="0.3">
      <c r="A219" s="18">
        <v>218</v>
      </c>
      <c r="B219" s="19" t="s">
        <v>837</v>
      </c>
      <c r="C219" s="21" t="s">
        <v>596</v>
      </c>
      <c r="D219" s="24">
        <v>0</v>
      </c>
      <c r="E219" s="23" t="s">
        <v>199</v>
      </c>
    </row>
    <row r="220" spans="1:5" ht="46.5" x14ac:dyDescent="0.3">
      <c r="A220" s="18">
        <v>219</v>
      </c>
      <c r="B220" s="19" t="s">
        <v>838</v>
      </c>
      <c r="C220" s="21" t="s">
        <v>596</v>
      </c>
      <c r="D220" s="24">
        <v>0</v>
      </c>
      <c r="E220" s="23" t="s">
        <v>199</v>
      </c>
    </row>
    <row r="221" spans="1:5" ht="46.5" x14ac:dyDescent="0.3">
      <c r="A221" s="18">
        <v>220</v>
      </c>
      <c r="B221" s="19" t="s">
        <v>839</v>
      </c>
      <c r="C221" s="21" t="s">
        <v>596</v>
      </c>
      <c r="D221" s="24">
        <v>0</v>
      </c>
      <c r="E221" s="23" t="s">
        <v>199</v>
      </c>
    </row>
    <row r="222" spans="1:5" ht="46.5" x14ac:dyDescent="0.3">
      <c r="A222" s="18">
        <v>221</v>
      </c>
      <c r="B222" s="19" t="s">
        <v>840</v>
      </c>
      <c r="C222" s="21" t="s">
        <v>596</v>
      </c>
      <c r="D222" s="24">
        <v>0</v>
      </c>
      <c r="E222" s="23" t="s">
        <v>199</v>
      </c>
    </row>
    <row r="223" spans="1:5" ht="46.5" x14ac:dyDescent="0.3">
      <c r="A223" s="18">
        <v>222</v>
      </c>
      <c r="B223" s="19" t="s">
        <v>841</v>
      </c>
      <c r="C223" s="21" t="s">
        <v>596</v>
      </c>
      <c r="D223" s="24">
        <v>0</v>
      </c>
      <c r="E223" s="23" t="s">
        <v>199</v>
      </c>
    </row>
    <row r="224" spans="1:5" ht="46.5" x14ac:dyDescent="0.3">
      <c r="A224" s="18">
        <v>223</v>
      </c>
      <c r="B224" s="19" t="s">
        <v>842</v>
      </c>
      <c r="C224" s="21" t="s">
        <v>596</v>
      </c>
      <c r="D224" s="24">
        <v>0</v>
      </c>
      <c r="E224" s="23" t="s">
        <v>199</v>
      </c>
    </row>
    <row r="225" spans="1:5" ht="46.5" x14ac:dyDescent="0.3">
      <c r="A225" s="18">
        <v>224</v>
      </c>
      <c r="B225" s="19" t="s">
        <v>843</v>
      </c>
      <c r="C225" s="21" t="s">
        <v>596</v>
      </c>
      <c r="D225" s="24">
        <v>0</v>
      </c>
      <c r="E225" s="23" t="s">
        <v>199</v>
      </c>
    </row>
    <row r="226" spans="1:5" ht="46.5" x14ac:dyDescent="0.3">
      <c r="A226" s="18">
        <v>225</v>
      </c>
      <c r="B226" s="21" t="s">
        <v>844</v>
      </c>
      <c r="C226" s="21" t="s">
        <v>596</v>
      </c>
      <c r="D226" s="24">
        <v>0</v>
      </c>
      <c r="E226" s="23" t="s">
        <v>199</v>
      </c>
    </row>
    <row r="227" spans="1:5" ht="46.5" x14ac:dyDescent="0.3">
      <c r="A227" s="18">
        <v>226</v>
      </c>
      <c r="B227" s="21" t="s">
        <v>845</v>
      </c>
      <c r="C227" s="21" t="s">
        <v>596</v>
      </c>
      <c r="D227" s="24">
        <v>0</v>
      </c>
      <c r="E227" s="23" t="s">
        <v>199</v>
      </c>
    </row>
    <row r="228" spans="1:5" ht="46.5" x14ac:dyDescent="0.3">
      <c r="A228" s="18">
        <v>227</v>
      </c>
      <c r="B228" s="19" t="s">
        <v>846</v>
      </c>
      <c r="C228" s="21" t="s">
        <v>591</v>
      </c>
      <c r="D228" s="24">
        <v>0</v>
      </c>
      <c r="E228" s="23" t="s">
        <v>199</v>
      </c>
    </row>
    <row r="229" spans="1:5" ht="46.5" x14ac:dyDescent="0.3">
      <c r="A229" s="18">
        <v>228</v>
      </c>
      <c r="B229" s="19" t="s">
        <v>847</v>
      </c>
      <c r="C229" s="21" t="s">
        <v>591</v>
      </c>
      <c r="D229" s="24">
        <v>0</v>
      </c>
      <c r="E229" s="23" t="s">
        <v>199</v>
      </c>
    </row>
    <row r="230" spans="1:5" ht="46.5" x14ac:dyDescent="0.3">
      <c r="A230" s="18">
        <v>229</v>
      </c>
      <c r="B230" s="19" t="s">
        <v>848</v>
      </c>
      <c r="C230" s="21" t="s">
        <v>591</v>
      </c>
      <c r="D230" s="24">
        <v>0</v>
      </c>
      <c r="E230" s="23" t="s">
        <v>199</v>
      </c>
    </row>
    <row r="231" spans="1:5" ht="46.5" x14ac:dyDescent="0.3">
      <c r="A231" s="18">
        <v>230</v>
      </c>
      <c r="B231" s="19" t="s">
        <v>849</v>
      </c>
      <c r="C231" s="21" t="s">
        <v>591</v>
      </c>
      <c r="D231" s="24">
        <v>0</v>
      </c>
      <c r="E231" s="23" t="s">
        <v>199</v>
      </c>
    </row>
    <row r="232" spans="1:5" ht="46.5" x14ac:dyDescent="0.3">
      <c r="A232" s="18">
        <v>231</v>
      </c>
      <c r="B232" s="19" t="s">
        <v>850</v>
      </c>
      <c r="C232" s="21" t="s">
        <v>591</v>
      </c>
      <c r="D232" s="24">
        <v>0</v>
      </c>
      <c r="E232" s="23" t="s">
        <v>199</v>
      </c>
    </row>
    <row r="233" spans="1:5" ht="46.5" x14ac:dyDescent="0.3">
      <c r="A233" s="18">
        <v>232</v>
      </c>
      <c r="B233" s="19" t="s">
        <v>851</v>
      </c>
      <c r="C233" s="21" t="s">
        <v>591</v>
      </c>
      <c r="D233" s="24">
        <v>0</v>
      </c>
      <c r="E233" s="23" t="s">
        <v>199</v>
      </c>
    </row>
    <row r="234" spans="1:5" ht="46.5" x14ac:dyDescent="0.3">
      <c r="A234" s="18">
        <v>233</v>
      </c>
      <c r="B234" s="19" t="s">
        <v>852</v>
      </c>
      <c r="C234" s="21" t="s">
        <v>591</v>
      </c>
      <c r="D234" s="24">
        <v>0</v>
      </c>
      <c r="E234" s="23" t="s">
        <v>199</v>
      </c>
    </row>
    <row r="235" spans="1:5" ht="46.5" x14ac:dyDescent="0.3">
      <c r="A235" s="18">
        <v>234</v>
      </c>
      <c r="B235" s="19" t="s">
        <v>853</v>
      </c>
      <c r="C235" s="21" t="s">
        <v>591</v>
      </c>
      <c r="D235" s="24">
        <v>0</v>
      </c>
      <c r="E235" s="23" t="s">
        <v>199</v>
      </c>
    </row>
    <row r="236" spans="1:5" ht="46.5" x14ac:dyDescent="0.3">
      <c r="A236" s="18">
        <v>235</v>
      </c>
      <c r="B236" s="19" t="s">
        <v>854</v>
      </c>
      <c r="C236" s="21" t="s">
        <v>591</v>
      </c>
      <c r="D236" s="24">
        <v>0</v>
      </c>
      <c r="E236" s="23" t="s">
        <v>199</v>
      </c>
    </row>
    <row r="237" spans="1:5" ht="46.5" x14ac:dyDescent="0.3">
      <c r="A237" s="18">
        <v>236</v>
      </c>
      <c r="B237" s="19" t="s">
        <v>855</v>
      </c>
      <c r="C237" s="21" t="s">
        <v>591</v>
      </c>
      <c r="D237" s="24">
        <v>0</v>
      </c>
      <c r="E237" s="23" t="s">
        <v>199</v>
      </c>
    </row>
    <row r="238" spans="1:5" ht="46.5" x14ac:dyDescent="0.3">
      <c r="A238" s="18">
        <v>237</v>
      </c>
      <c r="B238" s="19" t="s">
        <v>856</v>
      </c>
      <c r="C238" s="21" t="s">
        <v>591</v>
      </c>
      <c r="D238" s="24">
        <v>0</v>
      </c>
      <c r="E238" s="23" t="s">
        <v>199</v>
      </c>
    </row>
    <row r="239" spans="1:5" ht="46.5" x14ac:dyDescent="0.3">
      <c r="A239" s="18">
        <v>238</v>
      </c>
      <c r="B239" s="19" t="s">
        <v>857</v>
      </c>
      <c r="C239" s="21" t="s">
        <v>591</v>
      </c>
      <c r="D239" s="24">
        <v>0</v>
      </c>
      <c r="E239" s="23" t="s">
        <v>199</v>
      </c>
    </row>
    <row r="240" spans="1:5" ht="46.5" x14ac:dyDescent="0.3">
      <c r="A240" s="18">
        <v>239</v>
      </c>
      <c r="B240" s="19" t="s">
        <v>858</v>
      </c>
      <c r="C240" s="21" t="s">
        <v>591</v>
      </c>
      <c r="D240" s="24">
        <v>0</v>
      </c>
      <c r="E240" s="23" t="s">
        <v>199</v>
      </c>
    </row>
    <row r="241" spans="1:5" ht="46.5" x14ac:dyDescent="0.3">
      <c r="A241" s="18">
        <v>240</v>
      </c>
      <c r="B241" s="19" t="s">
        <v>859</v>
      </c>
      <c r="C241" s="21" t="s">
        <v>591</v>
      </c>
      <c r="D241" s="24">
        <v>0</v>
      </c>
      <c r="E241" s="23" t="s">
        <v>199</v>
      </c>
    </row>
    <row r="242" spans="1:5" ht="46.5" x14ac:dyDescent="0.3">
      <c r="A242" s="18">
        <v>241</v>
      </c>
      <c r="B242" s="19" t="s">
        <v>860</v>
      </c>
      <c r="C242" s="21" t="s">
        <v>591</v>
      </c>
      <c r="D242" s="24">
        <v>0</v>
      </c>
      <c r="E242" s="23" t="s">
        <v>199</v>
      </c>
    </row>
    <row r="243" spans="1:5" ht="46.5" x14ac:dyDescent="0.3">
      <c r="A243" s="18">
        <v>242</v>
      </c>
      <c r="B243" s="19" t="s">
        <v>861</v>
      </c>
      <c r="C243" s="21" t="s">
        <v>591</v>
      </c>
      <c r="D243" s="24">
        <v>0</v>
      </c>
      <c r="E243" s="23" t="s">
        <v>199</v>
      </c>
    </row>
    <row r="244" spans="1:5" ht="46.5" x14ac:dyDescent="0.3">
      <c r="A244" s="18">
        <v>243</v>
      </c>
      <c r="B244" s="19" t="s">
        <v>862</v>
      </c>
      <c r="C244" s="21" t="s">
        <v>591</v>
      </c>
      <c r="D244" s="24">
        <v>0</v>
      </c>
      <c r="E244" s="23" t="s">
        <v>199</v>
      </c>
    </row>
    <row r="245" spans="1:5" ht="31" x14ac:dyDescent="0.3">
      <c r="A245" s="18">
        <v>244</v>
      </c>
      <c r="B245" s="19" t="s">
        <v>863</v>
      </c>
      <c r="C245" s="21" t="s">
        <v>575</v>
      </c>
      <c r="D245" s="24">
        <v>20</v>
      </c>
      <c r="E245" s="23" t="s">
        <v>199</v>
      </c>
    </row>
    <row r="246" spans="1:5" ht="31" x14ac:dyDescent="0.3">
      <c r="A246" s="18">
        <v>245</v>
      </c>
      <c r="B246" s="19" t="s">
        <v>864</v>
      </c>
      <c r="C246" s="21" t="s">
        <v>575</v>
      </c>
      <c r="D246" s="24">
        <v>20</v>
      </c>
      <c r="E246" s="23" t="s">
        <v>199</v>
      </c>
    </row>
    <row r="247" spans="1:5" ht="31" x14ac:dyDescent="0.3">
      <c r="A247" s="18">
        <v>246</v>
      </c>
      <c r="B247" s="19" t="s">
        <v>865</v>
      </c>
      <c r="C247" s="21" t="s">
        <v>575</v>
      </c>
      <c r="D247" s="24">
        <v>20</v>
      </c>
      <c r="E247" s="23" t="s">
        <v>199</v>
      </c>
    </row>
    <row r="248" spans="1:5" ht="31" x14ac:dyDescent="0.3">
      <c r="A248" s="18">
        <v>247</v>
      </c>
      <c r="B248" s="19" t="s">
        <v>866</v>
      </c>
      <c r="C248" s="21" t="s">
        <v>575</v>
      </c>
      <c r="D248" s="24">
        <v>20</v>
      </c>
      <c r="E248" s="23" t="s">
        <v>199</v>
      </c>
    </row>
    <row r="249" spans="1:5" ht="31" x14ac:dyDescent="0.3">
      <c r="A249" s="18">
        <v>248</v>
      </c>
      <c r="B249" s="19" t="s">
        <v>867</v>
      </c>
      <c r="C249" s="21" t="s">
        <v>575</v>
      </c>
      <c r="D249" s="24">
        <v>20</v>
      </c>
      <c r="E249" s="23" t="s">
        <v>199</v>
      </c>
    </row>
    <row r="250" spans="1:5" ht="31" x14ac:dyDescent="0.3">
      <c r="A250" s="18">
        <v>249</v>
      </c>
      <c r="B250" s="19" t="s">
        <v>868</v>
      </c>
      <c r="C250" s="21" t="s">
        <v>575</v>
      </c>
      <c r="D250" s="24">
        <v>20</v>
      </c>
      <c r="E250" s="23" t="s">
        <v>199</v>
      </c>
    </row>
    <row r="251" spans="1:5" ht="31" x14ac:dyDescent="0.3">
      <c r="A251" s="18">
        <v>250</v>
      </c>
      <c r="B251" s="19" t="s">
        <v>869</v>
      </c>
      <c r="C251" s="21" t="s">
        <v>575</v>
      </c>
      <c r="D251" s="24">
        <v>20</v>
      </c>
      <c r="E251" s="23" t="s">
        <v>199</v>
      </c>
    </row>
    <row r="252" spans="1:5" ht="31" x14ac:dyDescent="0.3">
      <c r="A252" s="18">
        <v>251</v>
      </c>
      <c r="B252" s="19" t="s">
        <v>870</v>
      </c>
      <c r="C252" s="21" t="s">
        <v>575</v>
      </c>
      <c r="D252" s="24">
        <v>20</v>
      </c>
      <c r="E252" s="23" t="s">
        <v>199</v>
      </c>
    </row>
    <row r="253" spans="1:5" ht="31" x14ac:dyDescent="0.3">
      <c r="A253" s="18">
        <v>252</v>
      </c>
      <c r="B253" s="19" t="s">
        <v>871</v>
      </c>
      <c r="C253" s="21" t="s">
        <v>575</v>
      </c>
      <c r="D253" s="24">
        <v>20</v>
      </c>
      <c r="E253" s="23" t="s">
        <v>199</v>
      </c>
    </row>
    <row r="254" spans="1:5" ht="31" x14ac:dyDescent="0.3">
      <c r="A254" s="18">
        <v>253</v>
      </c>
      <c r="B254" s="19" t="s">
        <v>872</v>
      </c>
      <c r="C254" s="21" t="s">
        <v>575</v>
      </c>
      <c r="D254" s="24">
        <v>20</v>
      </c>
      <c r="E254" s="23" t="s">
        <v>199</v>
      </c>
    </row>
    <row r="255" spans="1:5" ht="31" x14ac:dyDescent="0.3">
      <c r="A255" s="18">
        <v>254</v>
      </c>
      <c r="B255" s="19" t="s">
        <v>873</v>
      </c>
      <c r="C255" s="21" t="s">
        <v>575</v>
      </c>
      <c r="D255" s="24">
        <v>20</v>
      </c>
      <c r="E255" s="23" t="s">
        <v>199</v>
      </c>
    </row>
    <row r="256" spans="1:5" ht="31" x14ac:dyDescent="0.3">
      <c r="A256" s="18">
        <v>255</v>
      </c>
      <c r="B256" s="19" t="s">
        <v>874</v>
      </c>
      <c r="C256" s="21" t="s">
        <v>575</v>
      </c>
      <c r="D256" s="24">
        <v>20</v>
      </c>
      <c r="E256" s="23" t="s">
        <v>199</v>
      </c>
    </row>
    <row r="257" spans="1:5" ht="31" x14ac:dyDescent="0.3">
      <c r="A257" s="18">
        <v>256</v>
      </c>
      <c r="B257" s="19" t="s">
        <v>875</v>
      </c>
      <c r="C257" s="21" t="s">
        <v>575</v>
      </c>
      <c r="D257" s="24">
        <v>20</v>
      </c>
      <c r="E257" s="23" t="s">
        <v>199</v>
      </c>
    </row>
    <row r="258" spans="1:5" ht="31" x14ac:dyDescent="0.3">
      <c r="A258" s="18">
        <v>257</v>
      </c>
      <c r="B258" s="19" t="s">
        <v>876</v>
      </c>
      <c r="C258" s="21" t="s">
        <v>575</v>
      </c>
      <c r="D258" s="24">
        <v>20</v>
      </c>
      <c r="E258" s="23" t="s">
        <v>199</v>
      </c>
    </row>
    <row r="259" spans="1:5" ht="31" x14ac:dyDescent="0.3">
      <c r="A259" s="18">
        <v>258</v>
      </c>
      <c r="B259" s="19" t="s">
        <v>877</v>
      </c>
      <c r="C259" s="21" t="s">
        <v>575</v>
      </c>
      <c r="D259" s="24">
        <v>20</v>
      </c>
      <c r="E259" s="23" t="s">
        <v>199</v>
      </c>
    </row>
    <row r="260" spans="1:5" ht="31" x14ac:dyDescent="0.3">
      <c r="A260" s="18">
        <v>259</v>
      </c>
      <c r="B260" s="19" t="s">
        <v>878</v>
      </c>
      <c r="C260" s="21" t="s">
        <v>575</v>
      </c>
      <c r="D260" s="24">
        <v>20</v>
      </c>
      <c r="E260" s="23" t="s">
        <v>199</v>
      </c>
    </row>
    <row r="261" spans="1:5" ht="31" x14ac:dyDescent="0.3">
      <c r="A261" s="18">
        <v>260</v>
      </c>
      <c r="B261" s="19" t="s">
        <v>879</v>
      </c>
      <c r="C261" s="21" t="s">
        <v>575</v>
      </c>
      <c r="D261" s="24">
        <v>20</v>
      </c>
      <c r="E261" s="23" t="s">
        <v>199</v>
      </c>
    </row>
    <row r="262" spans="1:5" ht="31" x14ac:dyDescent="0.3">
      <c r="A262" s="18">
        <v>261</v>
      </c>
      <c r="B262" s="19" t="s">
        <v>880</v>
      </c>
      <c r="C262" s="21" t="s">
        <v>575</v>
      </c>
      <c r="D262" s="24">
        <v>20</v>
      </c>
      <c r="E262" s="23" t="s">
        <v>199</v>
      </c>
    </row>
    <row r="263" spans="1:5" ht="31" x14ac:dyDescent="0.3">
      <c r="A263" s="18">
        <v>262</v>
      </c>
      <c r="B263" s="19" t="s">
        <v>881</v>
      </c>
      <c r="C263" s="21" t="s">
        <v>575</v>
      </c>
      <c r="D263" s="24">
        <v>20</v>
      </c>
      <c r="E263" s="23" t="s">
        <v>199</v>
      </c>
    </row>
    <row r="264" spans="1:5" ht="31" x14ac:dyDescent="0.3">
      <c r="A264" s="18">
        <v>263</v>
      </c>
      <c r="B264" s="19" t="s">
        <v>882</v>
      </c>
      <c r="C264" s="21" t="s">
        <v>575</v>
      </c>
      <c r="D264" s="24">
        <v>20</v>
      </c>
      <c r="E264" s="23" t="s">
        <v>199</v>
      </c>
    </row>
    <row r="265" spans="1:5" ht="31" x14ac:dyDescent="0.3">
      <c r="A265" s="18">
        <v>264</v>
      </c>
      <c r="B265" s="19" t="s">
        <v>883</v>
      </c>
      <c r="C265" s="21" t="s">
        <v>575</v>
      </c>
      <c r="D265" s="24">
        <v>20</v>
      </c>
      <c r="E265" s="23" t="s">
        <v>199</v>
      </c>
    </row>
    <row r="266" spans="1:5" ht="31" x14ac:dyDescent="0.3">
      <c r="A266" s="18">
        <v>265</v>
      </c>
      <c r="B266" s="19" t="s">
        <v>884</v>
      </c>
      <c r="C266" s="21" t="s">
        <v>575</v>
      </c>
      <c r="D266" s="24">
        <v>20</v>
      </c>
      <c r="E266" s="23" t="s">
        <v>199</v>
      </c>
    </row>
    <row r="267" spans="1:5" ht="31" x14ac:dyDescent="0.3">
      <c r="A267" s="18">
        <v>266</v>
      </c>
      <c r="B267" s="19" t="s">
        <v>885</v>
      </c>
      <c r="C267" s="21" t="s">
        <v>575</v>
      </c>
      <c r="D267" s="24">
        <v>20</v>
      </c>
      <c r="E267" s="23" t="s">
        <v>199</v>
      </c>
    </row>
    <row r="268" spans="1:5" ht="31" x14ac:dyDescent="0.3">
      <c r="A268" s="18">
        <v>267</v>
      </c>
      <c r="B268" s="19" t="s">
        <v>886</v>
      </c>
      <c r="C268" s="21" t="s">
        <v>575</v>
      </c>
      <c r="D268" s="24">
        <v>20</v>
      </c>
      <c r="E268" s="23" t="s">
        <v>199</v>
      </c>
    </row>
    <row r="269" spans="1:5" ht="31" x14ac:dyDescent="0.3">
      <c r="A269" s="18">
        <v>268</v>
      </c>
      <c r="B269" s="19" t="s">
        <v>887</v>
      </c>
      <c r="C269" s="21" t="s">
        <v>575</v>
      </c>
      <c r="D269" s="24">
        <v>20</v>
      </c>
      <c r="E269" s="23" t="s">
        <v>199</v>
      </c>
    </row>
    <row r="270" spans="1:5" ht="31" x14ac:dyDescent="0.3">
      <c r="A270" s="18">
        <v>269</v>
      </c>
      <c r="B270" s="19" t="s">
        <v>888</v>
      </c>
      <c r="C270" s="21" t="s">
        <v>575</v>
      </c>
      <c r="D270" s="24">
        <v>20</v>
      </c>
      <c r="E270" s="23" t="s">
        <v>199</v>
      </c>
    </row>
    <row r="271" spans="1:5" ht="31" x14ac:dyDescent="0.3">
      <c r="A271" s="18">
        <v>270</v>
      </c>
      <c r="B271" s="19" t="s">
        <v>889</v>
      </c>
      <c r="C271" s="21" t="s">
        <v>575</v>
      </c>
      <c r="D271" s="24">
        <v>20</v>
      </c>
      <c r="E271" s="23" t="s">
        <v>199</v>
      </c>
    </row>
    <row r="272" spans="1:5" ht="31" x14ac:dyDescent="0.3">
      <c r="A272" s="18">
        <v>271</v>
      </c>
      <c r="B272" s="19" t="s">
        <v>890</v>
      </c>
      <c r="C272" s="21" t="s">
        <v>575</v>
      </c>
      <c r="D272" s="24">
        <v>20</v>
      </c>
      <c r="E272" s="23" t="s">
        <v>199</v>
      </c>
    </row>
    <row r="273" spans="1:5" ht="31" x14ac:dyDescent="0.3">
      <c r="A273" s="18">
        <v>272</v>
      </c>
      <c r="B273" s="19" t="s">
        <v>891</v>
      </c>
      <c r="C273" s="21" t="s">
        <v>575</v>
      </c>
      <c r="D273" s="24">
        <v>20</v>
      </c>
      <c r="E273" s="23" t="s">
        <v>199</v>
      </c>
    </row>
    <row r="274" spans="1:5" ht="31" x14ac:dyDescent="0.3">
      <c r="A274" s="18">
        <v>273</v>
      </c>
      <c r="B274" s="19" t="s">
        <v>892</v>
      </c>
      <c r="C274" s="21" t="s">
        <v>575</v>
      </c>
      <c r="D274" s="24">
        <v>20</v>
      </c>
      <c r="E274" s="23" t="s">
        <v>199</v>
      </c>
    </row>
    <row r="275" spans="1:5" ht="31" x14ac:dyDescent="0.3">
      <c r="A275" s="18">
        <v>274</v>
      </c>
      <c r="B275" s="19" t="s">
        <v>893</v>
      </c>
      <c r="C275" s="21" t="s">
        <v>575</v>
      </c>
      <c r="D275" s="24">
        <v>20</v>
      </c>
      <c r="E275" s="23" t="s">
        <v>199</v>
      </c>
    </row>
    <row r="276" spans="1:5" ht="31" x14ac:dyDescent="0.3">
      <c r="A276" s="18">
        <v>275</v>
      </c>
      <c r="B276" s="19" t="s">
        <v>894</v>
      </c>
      <c r="C276" s="21" t="s">
        <v>575</v>
      </c>
      <c r="D276" s="24">
        <v>20</v>
      </c>
      <c r="E276" s="23" t="s">
        <v>199</v>
      </c>
    </row>
    <row r="277" spans="1:5" ht="31" x14ac:dyDescent="0.3">
      <c r="A277" s="18">
        <v>276</v>
      </c>
      <c r="B277" s="19" t="s">
        <v>895</v>
      </c>
      <c r="C277" s="21" t="s">
        <v>575</v>
      </c>
      <c r="D277" s="24">
        <v>20</v>
      </c>
      <c r="E277" s="23" t="s">
        <v>199</v>
      </c>
    </row>
    <row r="278" spans="1:5" ht="31" x14ac:dyDescent="0.3">
      <c r="A278" s="18">
        <v>277</v>
      </c>
      <c r="B278" s="19" t="s">
        <v>896</v>
      </c>
      <c r="C278" s="21" t="s">
        <v>575</v>
      </c>
      <c r="D278" s="24">
        <v>20</v>
      </c>
      <c r="E278" s="23" t="s">
        <v>199</v>
      </c>
    </row>
    <row r="279" spans="1:5" ht="31" x14ac:dyDescent="0.3">
      <c r="A279" s="18">
        <v>278</v>
      </c>
      <c r="B279" s="19" t="s">
        <v>897</v>
      </c>
      <c r="C279" s="21" t="s">
        <v>575</v>
      </c>
      <c r="D279" s="24">
        <v>20</v>
      </c>
      <c r="E279" s="23" t="s">
        <v>199</v>
      </c>
    </row>
    <row r="280" spans="1:5" ht="31" x14ac:dyDescent="0.3">
      <c r="A280" s="18">
        <v>279</v>
      </c>
      <c r="B280" s="19" t="s">
        <v>898</v>
      </c>
      <c r="C280" s="21" t="s">
        <v>575</v>
      </c>
      <c r="D280" s="24">
        <v>20</v>
      </c>
      <c r="E280" s="23" t="s">
        <v>199</v>
      </c>
    </row>
    <row r="281" spans="1:5" ht="31" x14ac:dyDescent="0.3">
      <c r="A281" s="18">
        <v>280</v>
      </c>
      <c r="B281" s="19" t="s">
        <v>899</v>
      </c>
      <c r="C281" s="21" t="s">
        <v>575</v>
      </c>
      <c r="D281" s="24">
        <v>20</v>
      </c>
      <c r="E281" s="23" t="s">
        <v>199</v>
      </c>
    </row>
    <row r="282" spans="1:5" ht="31" x14ac:dyDescent="0.3">
      <c r="A282" s="18">
        <v>281</v>
      </c>
      <c r="B282" s="19" t="s">
        <v>900</v>
      </c>
      <c r="C282" s="21" t="s">
        <v>575</v>
      </c>
      <c r="D282" s="24">
        <v>20</v>
      </c>
      <c r="E282" s="23" t="s">
        <v>199</v>
      </c>
    </row>
    <row r="283" spans="1:5" ht="31" x14ac:dyDescent="0.3">
      <c r="A283" s="18">
        <v>282</v>
      </c>
      <c r="B283" s="19" t="s">
        <v>901</v>
      </c>
      <c r="C283" s="21" t="s">
        <v>575</v>
      </c>
      <c r="D283" s="24">
        <v>20</v>
      </c>
      <c r="E283" s="23" t="s">
        <v>199</v>
      </c>
    </row>
    <row r="284" spans="1:5" ht="31" x14ac:dyDescent="0.3">
      <c r="A284" s="18">
        <v>283</v>
      </c>
      <c r="B284" s="19" t="s">
        <v>902</v>
      </c>
      <c r="C284" s="21" t="s">
        <v>575</v>
      </c>
      <c r="D284" s="24">
        <v>20</v>
      </c>
      <c r="E284" s="23" t="s">
        <v>199</v>
      </c>
    </row>
    <row r="285" spans="1:5" ht="31" x14ac:dyDescent="0.3">
      <c r="A285" s="18">
        <v>284</v>
      </c>
      <c r="B285" s="19" t="s">
        <v>903</v>
      </c>
      <c r="C285" s="21" t="s">
        <v>575</v>
      </c>
      <c r="D285" s="24">
        <v>20</v>
      </c>
      <c r="E285" s="23" t="s">
        <v>199</v>
      </c>
    </row>
    <row r="286" spans="1:5" ht="31" x14ac:dyDescent="0.3">
      <c r="A286" s="18">
        <v>285</v>
      </c>
      <c r="B286" s="19" t="s">
        <v>904</v>
      </c>
      <c r="C286" s="21" t="s">
        <v>575</v>
      </c>
      <c r="D286" s="24">
        <v>20</v>
      </c>
      <c r="E286" s="23" t="s">
        <v>199</v>
      </c>
    </row>
    <row r="287" spans="1:5" ht="31" x14ac:dyDescent="0.3">
      <c r="A287" s="18">
        <v>286</v>
      </c>
      <c r="B287" s="19" t="s">
        <v>905</v>
      </c>
      <c r="C287" s="21" t="s">
        <v>575</v>
      </c>
      <c r="D287" s="24">
        <v>20</v>
      </c>
      <c r="E287" s="23" t="s">
        <v>199</v>
      </c>
    </row>
    <row r="288" spans="1:5" ht="31" x14ac:dyDescent="0.3">
      <c r="A288" s="18">
        <v>287</v>
      </c>
      <c r="B288" s="19" t="s">
        <v>906</v>
      </c>
      <c r="C288" s="21" t="s">
        <v>575</v>
      </c>
      <c r="D288" s="24">
        <v>20</v>
      </c>
      <c r="E288" s="23" t="s">
        <v>199</v>
      </c>
    </row>
    <row r="289" spans="1:5" ht="31" x14ac:dyDescent="0.3">
      <c r="A289" s="18">
        <v>288</v>
      </c>
      <c r="B289" s="19" t="s">
        <v>907</v>
      </c>
      <c r="C289" s="21" t="s">
        <v>575</v>
      </c>
      <c r="D289" s="24">
        <v>20</v>
      </c>
      <c r="E289" s="23" t="s">
        <v>199</v>
      </c>
    </row>
    <row r="290" spans="1:5" ht="31" x14ac:dyDescent="0.3">
      <c r="A290" s="18">
        <v>289</v>
      </c>
      <c r="B290" s="19" t="s">
        <v>908</v>
      </c>
      <c r="C290" s="21" t="s">
        <v>575</v>
      </c>
      <c r="D290" s="24">
        <v>20</v>
      </c>
      <c r="E290" s="23" t="s">
        <v>199</v>
      </c>
    </row>
    <row r="291" spans="1:5" ht="31" x14ac:dyDescent="0.3">
      <c r="A291" s="18">
        <v>290</v>
      </c>
      <c r="B291" s="19" t="s">
        <v>909</v>
      </c>
      <c r="C291" s="21" t="s">
        <v>575</v>
      </c>
      <c r="D291" s="24">
        <v>20</v>
      </c>
      <c r="E291" s="23" t="s">
        <v>199</v>
      </c>
    </row>
    <row r="292" spans="1:5" ht="31" x14ac:dyDescent="0.3">
      <c r="A292" s="18">
        <v>291</v>
      </c>
      <c r="B292" s="19" t="s">
        <v>910</v>
      </c>
      <c r="C292" s="21" t="s">
        <v>575</v>
      </c>
      <c r="D292" s="24">
        <v>20</v>
      </c>
      <c r="E292" s="23" t="s">
        <v>199</v>
      </c>
    </row>
    <row r="293" spans="1:5" ht="31" x14ac:dyDescent="0.3">
      <c r="A293" s="18">
        <v>292</v>
      </c>
      <c r="B293" s="19" t="s">
        <v>911</v>
      </c>
      <c r="C293" s="21" t="s">
        <v>575</v>
      </c>
      <c r="D293" s="24">
        <v>20</v>
      </c>
      <c r="E293" s="23" t="s">
        <v>199</v>
      </c>
    </row>
    <row r="294" spans="1:5" ht="31" x14ac:dyDescent="0.3">
      <c r="A294" s="18">
        <v>293</v>
      </c>
      <c r="B294" s="21" t="s">
        <v>912</v>
      </c>
      <c r="C294" s="19" t="s">
        <v>575</v>
      </c>
      <c r="D294" s="24">
        <v>20</v>
      </c>
      <c r="E294" s="23" t="s">
        <v>199</v>
      </c>
    </row>
    <row r="295" spans="1:5" ht="31" x14ac:dyDescent="0.3">
      <c r="A295" s="18">
        <v>294</v>
      </c>
      <c r="B295" s="19" t="s">
        <v>913</v>
      </c>
      <c r="C295" s="21" t="s">
        <v>575</v>
      </c>
      <c r="D295" s="24">
        <v>20</v>
      </c>
      <c r="E295" s="23" t="s">
        <v>199</v>
      </c>
    </row>
    <row r="296" spans="1:5" ht="31" x14ac:dyDescent="0.3">
      <c r="A296" s="18">
        <v>295</v>
      </c>
      <c r="B296" s="19" t="s">
        <v>914</v>
      </c>
      <c r="C296" s="21" t="s">
        <v>575</v>
      </c>
      <c r="D296" s="24">
        <v>20</v>
      </c>
      <c r="E296" s="23" t="s">
        <v>199</v>
      </c>
    </row>
    <row r="297" spans="1:5" ht="31" x14ac:dyDescent="0.3">
      <c r="A297" s="18">
        <v>296</v>
      </c>
      <c r="B297" s="19" t="s">
        <v>915</v>
      </c>
      <c r="C297" s="21" t="s">
        <v>575</v>
      </c>
      <c r="D297" s="24">
        <v>20</v>
      </c>
      <c r="E297" s="23" t="s">
        <v>199</v>
      </c>
    </row>
    <row r="298" spans="1:5" ht="31" x14ac:dyDescent="0.3">
      <c r="A298" s="18">
        <v>297</v>
      </c>
      <c r="B298" s="19" t="s">
        <v>916</v>
      </c>
      <c r="C298" s="21" t="s">
        <v>575</v>
      </c>
      <c r="D298" s="24">
        <v>20</v>
      </c>
      <c r="E298" s="23" t="s">
        <v>199</v>
      </c>
    </row>
    <row r="299" spans="1:5" ht="31" x14ac:dyDescent="0.3">
      <c r="A299" s="18">
        <v>298</v>
      </c>
      <c r="B299" s="19" t="s">
        <v>917</v>
      </c>
      <c r="C299" s="21" t="s">
        <v>575</v>
      </c>
      <c r="D299" s="24">
        <v>20</v>
      </c>
      <c r="E299" s="23" t="s">
        <v>199</v>
      </c>
    </row>
    <row r="300" spans="1:5" ht="31" x14ac:dyDescent="0.3">
      <c r="A300" s="18">
        <v>299</v>
      </c>
      <c r="B300" s="19" t="s">
        <v>918</v>
      </c>
      <c r="C300" s="21" t="s">
        <v>575</v>
      </c>
      <c r="D300" s="24">
        <v>20</v>
      </c>
      <c r="E300" s="23" t="s">
        <v>199</v>
      </c>
    </row>
    <row r="301" spans="1:5" ht="31" x14ac:dyDescent="0.3">
      <c r="A301" s="18">
        <v>300</v>
      </c>
      <c r="B301" s="19" t="s">
        <v>919</v>
      </c>
      <c r="C301" s="21" t="s">
        <v>575</v>
      </c>
      <c r="D301" s="24">
        <v>20</v>
      </c>
      <c r="E301" s="23" t="s">
        <v>199</v>
      </c>
    </row>
    <row r="302" spans="1:5" ht="31" x14ac:dyDescent="0.3">
      <c r="A302" s="18">
        <v>301</v>
      </c>
      <c r="B302" s="19" t="s">
        <v>920</v>
      </c>
      <c r="C302" s="21" t="s">
        <v>575</v>
      </c>
      <c r="D302" s="24">
        <v>20</v>
      </c>
      <c r="E302" s="23" t="s">
        <v>199</v>
      </c>
    </row>
    <row r="303" spans="1:5" ht="31" x14ac:dyDescent="0.3">
      <c r="A303" s="18">
        <v>302</v>
      </c>
      <c r="B303" s="19" t="s">
        <v>921</v>
      </c>
      <c r="C303" s="21" t="s">
        <v>575</v>
      </c>
      <c r="D303" s="24">
        <v>20</v>
      </c>
      <c r="E303" s="23" t="s">
        <v>199</v>
      </c>
    </row>
    <row r="304" spans="1:5" ht="31" x14ac:dyDescent="0.3">
      <c r="A304" s="18">
        <v>303</v>
      </c>
      <c r="B304" s="19" t="s">
        <v>922</v>
      </c>
      <c r="C304" s="21" t="s">
        <v>575</v>
      </c>
      <c r="D304" s="24">
        <v>20</v>
      </c>
      <c r="E304" s="23" t="s">
        <v>199</v>
      </c>
    </row>
    <row r="305" spans="1:5" ht="31" x14ac:dyDescent="0.3">
      <c r="A305" s="18">
        <v>304</v>
      </c>
      <c r="B305" s="19" t="s">
        <v>923</v>
      </c>
      <c r="C305" s="21" t="s">
        <v>575</v>
      </c>
      <c r="D305" s="24">
        <v>20</v>
      </c>
      <c r="E305" s="23" t="s">
        <v>199</v>
      </c>
    </row>
    <row r="306" spans="1:5" ht="31" x14ac:dyDescent="0.3">
      <c r="A306" s="18">
        <v>305</v>
      </c>
      <c r="B306" s="19" t="s">
        <v>924</v>
      </c>
      <c r="C306" s="21" t="s">
        <v>575</v>
      </c>
      <c r="D306" s="24">
        <v>20</v>
      </c>
      <c r="E306" s="23" t="s">
        <v>199</v>
      </c>
    </row>
    <row r="307" spans="1:5" ht="31" x14ac:dyDescent="0.3">
      <c r="A307" s="18">
        <v>306</v>
      </c>
      <c r="B307" s="19" t="s">
        <v>925</v>
      </c>
      <c r="C307" s="21" t="s">
        <v>575</v>
      </c>
      <c r="D307" s="24">
        <v>20</v>
      </c>
      <c r="E307" s="23" t="s">
        <v>199</v>
      </c>
    </row>
    <row r="308" spans="1:5" ht="31" x14ac:dyDescent="0.3">
      <c r="A308" s="18">
        <v>307</v>
      </c>
      <c r="B308" s="19" t="s">
        <v>926</v>
      </c>
      <c r="C308" s="21" t="s">
        <v>575</v>
      </c>
      <c r="D308" s="24">
        <v>20</v>
      </c>
      <c r="E308" s="23" t="s">
        <v>199</v>
      </c>
    </row>
    <row r="309" spans="1:5" ht="31" x14ac:dyDescent="0.3">
      <c r="A309" s="18">
        <v>308</v>
      </c>
      <c r="B309" s="19" t="s">
        <v>927</v>
      </c>
      <c r="C309" s="21" t="s">
        <v>575</v>
      </c>
      <c r="D309" s="24">
        <v>20</v>
      </c>
      <c r="E309" s="23" t="s">
        <v>199</v>
      </c>
    </row>
    <row r="310" spans="1:5" ht="31" x14ac:dyDescent="0.3">
      <c r="A310" s="18">
        <v>309</v>
      </c>
      <c r="B310" s="19" t="s">
        <v>928</v>
      </c>
      <c r="C310" s="21" t="s">
        <v>575</v>
      </c>
      <c r="D310" s="24">
        <v>20</v>
      </c>
      <c r="E310" s="23" t="s">
        <v>199</v>
      </c>
    </row>
    <row r="311" spans="1:5" ht="31" x14ac:dyDescent="0.3">
      <c r="A311" s="18">
        <v>310</v>
      </c>
      <c r="B311" s="19" t="s">
        <v>929</v>
      </c>
      <c r="C311" s="21" t="s">
        <v>575</v>
      </c>
      <c r="D311" s="24">
        <v>20</v>
      </c>
      <c r="E311" s="23" t="s">
        <v>199</v>
      </c>
    </row>
    <row r="312" spans="1:5" ht="31" x14ac:dyDescent="0.3">
      <c r="A312" s="18">
        <v>311</v>
      </c>
      <c r="B312" s="19" t="s">
        <v>930</v>
      </c>
      <c r="C312" s="21" t="s">
        <v>575</v>
      </c>
      <c r="D312" s="24">
        <v>20</v>
      </c>
      <c r="E312" s="23" t="s">
        <v>199</v>
      </c>
    </row>
    <row r="313" spans="1:5" ht="31" x14ac:dyDescent="0.3">
      <c r="A313" s="18">
        <v>312</v>
      </c>
      <c r="B313" s="19" t="s">
        <v>931</v>
      </c>
      <c r="C313" s="21" t="s">
        <v>575</v>
      </c>
      <c r="D313" s="24">
        <v>20</v>
      </c>
      <c r="E313" s="23" t="s">
        <v>199</v>
      </c>
    </row>
    <row r="314" spans="1:5" ht="31" x14ac:dyDescent="0.3">
      <c r="A314" s="18">
        <v>313</v>
      </c>
      <c r="B314" s="19" t="s">
        <v>932</v>
      </c>
      <c r="C314" s="21" t="s">
        <v>575</v>
      </c>
      <c r="D314" s="24">
        <v>20</v>
      </c>
      <c r="E314" s="23" t="s">
        <v>199</v>
      </c>
    </row>
    <row r="315" spans="1:5" ht="31" x14ac:dyDescent="0.3">
      <c r="A315" s="18">
        <v>314</v>
      </c>
      <c r="B315" s="19" t="s">
        <v>933</v>
      </c>
      <c r="C315" s="21" t="s">
        <v>575</v>
      </c>
      <c r="D315" s="24">
        <v>20</v>
      </c>
      <c r="E315" s="23" t="s">
        <v>199</v>
      </c>
    </row>
    <row r="316" spans="1:5" ht="31" x14ac:dyDescent="0.3">
      <c r="A316" s="18">
        <v>315</v>
      </c>
      <c r="B316" s="19" t="s">
        <v>934</v>
      </c>
      <c r="C316" s="21" t="s">
        <v>575</v>
      </c>
      <c r="D316" s="24">
        <v>20</v>
      </c>
      <c r="E316" s="23" t="s">
        <v>199</v>
      </c>
    </row>
    <row r="317" spans="1:5" ht="31" x14ac:dyDescent="0.3">
      <c r="A317" s="18">
        <v>316</v>
      </c>
      <c r="B317" s="19" t="s">
        <v>935</v>
      </c>
      <c r="C317" s="21" t="s">
        <v>575</v>
      </c>
      <c r="D317" s="24">
        <v>20</v>
      </c>
      <c r="E317" s="23" t="s">
        <v>199</v>
      </c>
    </row>
    <row r="318" spans="1:5" ht="31" x14ac:dyDescent="0.3">
      <c r="A318" s="18">
        <v>317</v>
      </c>
      <c r="B318" s="19" t="s">
        <v>936</v>
      </c>
      <c r="C318" s="21" t="s">
        <v>575</v>
      </c>
      <c r="D318" s="24">
        <v>20</v>
      </c>
      <c r="E318" s="23" t="s">
        <v>199</v>
      </c>
    </row>
    <row r="319" spans="1:5" ht="31" x14ac:dyDescent="0.3">
      <c r="A319" s="18">
        <v>318</v>
      </c>
      <c r="B319" s="19" t="s">
        <v>937</v>
      </c>
      <c r="C319" s="21" t="s">
        <v>575</v>
      </c>
      <c r="D319" s="24">
        <v>20</v>
      </c>
      <c r="E319" s="23" t="s">
        <v>199</v>
      </c>
    </row>
    <row r="320" spans="1:5" ht="31" x14ac:dyDescent="0.3">
      <c r="A320" s="18">
        <v>319</v>
      </c>
      <c r="B320" s="19" t="s">
        <v>938</v>
      </c>
      <c r="C320" s="21" t="s">
        <v>575</v>
      </c>
      <c r="D320" s="24">
        <v>20</v>
      </c>
      <c r="E320" s="23" t="s">
        <v>199</v>
      </c>
    </row>
    <row r="321" spans="1:5" ht="31" x14ac:dyDescent="0.3">
      <c r="A321" s="18">
        <v>320</v>
      </c>
      <c r="B321" s="19" t="s">
        <v>939</v>
      </c>
      <c r="C321" s="21" t="s">
        <v>575</v>
      </c>
      <c r="D321" s="24">
        <v>20</v>
      </c>
      <c r="E321" s="23" t="s">
        <v>199</v>
      </c>
    </row>
    <row r="322" spans="1:5" ht="31" x14ac:dyDescent="0.3">
      <c r="A322" s="18">
        <v>321</v>
      </c>
      <c r="B322" s="19" t="s">
        <v>940</v>
      </c>
      <c r="C322" s="21" t="s">
        <v>575</v>
      </c>
      <c r="D322" s="24">
        <v>20</v>
      </c>
      <c r="E322" s="23" t="s">
        <v>199</v>
      </c>
    </row>
    <row r="323" spans="1:5" ht="31" x14ac:dyDescent="0.3">
      <c r="A323" s="18">
        <v>322</v>
      </c>
      <c r="B323" s="19" t="s">
        <v>941</v>
      </c>
      <c r="C323" s="21" t="s">
        <v>575</v>
      </c>
      <c r="D323" s="24">
        <v>20</v>
      </c>
      <c r="E323" s="23" t="s">
        <v>199</v>
      </c>
    </row>
    <row r="324" spans="1:5" ht="31" x14ac:dyDescent="0.3">
      <c r="A324" s="18">
        <v>323</v>
      </c>
      <c r="B324" s="19" t="s">
        <v>942</v>
      </c>
      <c r="C324" s="21" t="s">
        <v>575</v>
      </c>
      <c r="D324" s="24">
        <v>20</v>
      </c>
      <c r="E324" s="23" t="s">
        <v>199</v>
      </c>
    </row>
    <row r="325" spans="1:5" ht="31" x14ac:dyDescent="0.3">
      <c r="A325" s="18">
        <v>324</v>
      </c>
      <c r="B325" s="19" t="s">
        <v>943</v>
      </c>
      <c r="C325" s="21" t="s">
        <v>575</v>
      </c>
      <c r="D325" s="24">
        <v>20</v>
      </c>
      <c r="E325" s="23" t="s">
        <v>199</v>
      </c>
    </row>
    <row r="326" spans="1:5" ht="31" x14ac:dyDescent="0.3">
      <c r="A326" s="18">
        <v>325</v>
      </c>
      <c r="B326" s="19" t="s">
        <v>944</v>
      </c>
      <c r="C326" s="21" t="s">
        <v>575</v>
      </c>
      <c r="D326" s="24">
        <v>20</v>
      </c>
      <c r="E326" s="23" t="s">
        <v>199</v>
      </c>
    </row>
    <row r="327" spans="1:5" ht="31" x14ac:dyDescent="0.3">
      <c r="A327" s="18">
        <v>326</v>
      </c>
      <c r="B327" s="19" t="s">
        <v>945</v>
      </c>
      <c r="C327" s="21" t="s">
        <v>575</v>
      </c>
      <c r="D327" s="24">
        <v>20</v>
      </c>
      <c r="E327" s="23" t="s">
        <v>199</v>
      </c>
    </row>
    <row r="328" spans="1:5" ht="31" x14ac:dyDescent="0.3">
      <c r="A328" s="18">
        <v>327</v>
      </c>
      <c r="B328" s="19" t="s">
        <v>946</v>
      </c>
      <c r="C328" s="21" t="s">
        <v>575</v>
      </c>
      <c r="D328" s="24">
        <v>20</v>
      </c>
      <c r="E328" s="23" t="s">
        <v>199</v>
      </c>
    </row>
    <row r="329" spans="1:5" ht="31" x14ac:dyDescent="0.3">
      <c r="A329" s="18">
        <v>328</v>
      </c>
      <c r="B329" s="19" t="s">
        <v>947</v>
      </c>
      <c r="C329" s="21" t="s">
        <v>575</v>
      </c>
      <c r="D329" s="24">
        <v>20</v>
      </c>
      <c r="E329" s="23" t="s">
        <v>199</v>
      </c>
    </row>
    <row r="330" spans="1:5" ht="31" x14ac:dyDescent="0.3">
      <c r="A330" s="18">
        <v>329</v>
      </c>
      <c r="B330" s="19" t="s">
        <v>948</v>
      </c>
      <c r="C330" s="21" t="s">
        <v>575</v>
      </c>
      <c r="D330" s="24">
        <v>20</v>
      </c>
      <c r="E330" s="23" t="s">
        <v>199</v>
      </c>
    </row>
    <row r="331" spans="1:5" ht="31" x14ac:dyDescent="0.3">
      <c r="A331" s="18">
        <v>330</v>
      </c>
      <c r="B331" s="19" t="s">
        <v>949</v>
      </c>
      <c r="C331" s="21" t="s">
        <v>575</v>
      </c>
      <c r="D331" s="24">
        <v>20</v>
      </c>
      <c r="E331" s="23" t="s">
        <v>199</v>
      </c>
    </row>
    <row r="332" spans="1:5" ht="31" x14ac:dyDescent="0.3">
      <c r="A332" s="18">
        <v>331</v>
      </c>
      <c r="B332" s="19" t="s">
        <v>950</v>
      </c>
      <c r="C332" s="21" t="s">
        <v>575</v>
      </c>
      <c r="D332" s="24">
        <v>20</v>
      </c>
      <c r="E332" s="23" t="s">
        <v>199</v>
      </c>
    </row>
    <row r="333" spans="1:5" ht="31" x14ac:dyDescent="0.3">
      <c r="A333" s="18">
        <v>332</v>
      </c>
      <c r="B333" s="19" t="s">
        <v>951</v>
      </c>
      <c r="C333" s="21" t="s">
        <v>575</v>
      </c>
      <c r="D333" s="24">
        <v>20</v>
      </c>
      <c r="E333" s="23" t="s">
        <v>199</v>
      </c>
    </row>
    <row r="334" spans="1:5" ht="31" x14ac:dyDescent="0.3">
      <c r="A334" s="18">
        <v>333</v>
      </c>
      <c r="B334" s="19" t="s">
        <v>952</v>
      </c>
      <c r="C334" s="21" t="s">
        <v>575</v>
      </c>
      <c r="D334" s="24">
        <v>20</v>
      </c>
      <c r="E334" s="23" t="s">
        <v>199</v>
      </c>
    </row>
    <row r="335" spans="1:5" ht="31" x14ac:dyDescent="0.3">
      <c r="A335" s="18">
        <v>334</v>
      </c>
      <c r="B335" s="19" t="s">
        <v>953</v>
      </c>
      <c r="C335" s="21" t="s">
        <v>575</v>
      </c>
      <c r="D335" s="24">
        <v>20</v>
      </c>
      <c r="E335" s="23" t="s">
        <v>199</v>
      </c>
    </row>
    <row r="336" spans="1:5" ht="31" x14ac:dyDescent="0.3">
      <c r="A336" s="18">
        <v>335</v>
      </c>
      <c r="B336" s="19" t="s">
        <v>954</v>
      </c>
      <c r="C336" s="21" t="s">
        <v>575</v>
      </c>
      <c r="D336" s="24">
        <v>20</v>
      </c>
      <c r="E336" s="23" t="s">
        <v>199</v>
      </c>
    </row>
    <row r="337" spans="1:5" ht="31" x14ac:dyDescent="0.3">
      <c r="A337" s="18">
        <v>336</v>
      </c>
      <c r="B337" s="19" t="s">
        <v>955</v>
      </c>
      <c r="C337" s="21" t="s">
        <v>575</v>
      </c>
      <c r="D337" s="24">
        <v>20</v>
      </c>
      <c r="E337" s="23" t="s">
        <v>199</v>
      </c>
    </row>
    <row r="338" spans="1:5" ht="31" x14ac:dyDescent="0.3">
      <c r="A338" s="18">
        <v>337</v>
      </c>
      <c r="B338" s="19" t="s">
        <v>956</v>
      </c>
      <c r="C338" s="21" t="s">
        <v>575</v>
      </c>
      <c r="D338" s="24">
        <v>20</v>
      </c>
      <c r="E338" s="23" t="s">
        <v>199</v>
      </c>
    </row>
    <row r="339" spans="1:5" ht="31" x14ac:dyDescent="0.3">
      <c r="A339" s="18">
        <v>338</v>
      </c>
      <c r="B339" s="19" t="s">
        <v>957</v>
      </c>
      <c r="C339" s="21" t="s">
        <v>575</v>
      </c>
      <c r="D339" s="24">
        <v>20</v>
      </c>
      <c r="E339" s="23" t="s">
        <v>199</v>
      </c>
    </row>
    <row r="340" spans="1:5" ht="31" x14ac:dyDescent="0.3">
      <c r="A340" s="18">
        <v>339</v>
      </c>
      <c r="B340" s="19" t="s">
        <v>958</v>
      </c>
      <c r="C340" s="21" t="s">
        <v>575</v>
      </c>
      <c r="D340" s="24">
        <v>20</v>
      </c>
      <c r="E340" s="23" t="s">
        <v>199</v>
      </c>
    </row>
    <row r="341" spans="1:5" ht="46.5" x14ac:dyDescent="0.3">
      <c r="A341" s="18">
        <v>340</v>
      </c>
      <c r="B341" s="21" t="s">
        <v>959</v>
      </c>
      <c r="C341" s="21" t="s">
        <v>575</v>
      </c>
      <c r="D341" s="24">
        <v>20</v>
      </c>
      <c r="E341" s="23" t="s">
        <v>199</v>
      </c>
    </row>
    <row r="342" spans="1:5" ht="46.5" x14ac:dyDescent="0.3">
      <c r="A342" s="18">
        <v>341</v>
      </c>
      <c r="B342" s="19" t="s">
        <v>960</v>
      </c>
      <c r="C342" s="21" t="s">
        <v>604</v>
      </c>
      <c r="D342" s="24">
        <v>20</v>
      </c>
      <c r="E342" s="23" t="s">
        <v>199</v>
      </c>
    </row>
    <row r="343" spans="1:5" ht="31" x14ac:dyDescent="0.3">
      <c r="A343" s="18">
        <v>342</v>
      </c>
      <c r="B343" s="19" t="s">
        <v>961</v>
      </c>
      <c r="C343" s="21" t="s">
        <v>604</v>
      </c>
      <c r="D343" s="24">
        <v>20</v>
      </c>
      <c r="E343" s="23" t="s">
        <v>199</v>
      </c>
    </row>
    <row r="344" spans="1:5" ht="31" x14ac:dyDescent="0.3">
      <c r="A344" s="18">
        <v>343</v>
      </c>
      <c r="B344" s="19" t="s">
        <v>962</v>
      </c>
      <c r="C344" s="21" t="s">
        <v>604</v>
      </c>
      <c r="D344" s="24">
        <v>20</v>
      </c>
      <c r="E344" s="23" t="s">
        <v>199</v>
      </c>
    </row>
    <row r="345" spans="1:5" ht="31" x14ac:dyDescent="0.3">
      <c r="A345" s="18">
        <v>344</v>
      </c>
      <c r="B345" s="19" t="s">
        <v>963</v>
      </c>
      <c r="C345" s="21" t="s">
        <v>604</v>
      </c>
      <c r="D345" s="24">
        <v>20</v>
      </c>
      <c r="E345" s="23" t="s">
        <v>199</v>
      </c>
    </row>
    <row r="346" spans="1:5" ht="31" x14ac:dyDescent="0.3">
      <c r="A346" s="18">
        <v>345</v>
      </c>
      <c r="B346" s="19" t="s">
        <v>964</v>
      </c>
      <c r="C346" s="21" t="s">
        <v>604</v>
      </c>
      <c r="D346" s="24">
        <v>20</v>
      </c>
      <c r="E346" s="23" t="s">
        <v>199</v>
      </c>
    </row>
    <row r="347" spans="1:5" ht="31" x14ac:dyDescent="0.3">
      <c r="A347" s="18">
        <v>346</v>
      </c>
      <c r="B347" s="19" t="s">
        <v>965</v>
      </c>
      <c r="C347" s="21" t="s">
        <v>604</v>
      </c>
      <c r="D347" s="24">
        <v>20</v>
      </c>
      <c r="E347" s="23" t="s">
        <v>199</v>
      </c>
    </row>
    <row r="348" spans="1:5" ht="31" x14ac:dyDescent="0.3">
      <c r="A348" s="18">
        <v>347</v>
      </c>
      <c r="B348" s="19" t="s">
        <v>966</v>
      </c>
      <c r="C348" s="21" t="s">
        <v>604</v>
      </c>
      <c r="D348" s="24">
        <v>20</v>
      </c>
      <c r="E348" s="23" t="s">
        <v>199</v>
      </c>
    </row>
    <row r="349" spans="1:5" ht="31" x14ac:dyDescent="0.3">
      <c r="A349" s="18">
        <v>348</v>
      </c>
      <c r="B349" s="19" t="s">
        <v>967</v>
      </c>
      <c r="C349" s="21" t="s">
        <v>604</v>
      </c>
      <c r="D349" s="24">
        <v>20</v>
      </c>
      <c r="E349" s="23" t="s">
        <v>199</v>
      </c>
    </row>
    <row r="350" spans="1:5" ht="31" x14ac:dyDescent="0.3">
      <c r="A350" s="18">
        <v>349</v>
      </c>
      <c r="B350" s="19" t="s">
        <v>968</v>
      </c>
      <c r="C350" s="21" t="s">
        <v>604</v>
      </c>
      <c r="D350" s="24">
        <v>20</v>
      </c>
      <c r="E350" s="23" t="s">
        <v>199</v>
      </c>
    </row>
    <row r="351" spans="1:5" ht="31" x14ac:dyDescent="0.3">
      <c r="A351" s="18">
        <v>350</v>
      </c>
      <c r="B351" s="19" t="s">
        <v>969</v>
      </c>
      <c r="C351" s="21" t="s">
        <v>604</v>
      </c>
      <c r="D351" s="24">
        <v>20</v>
      </c>
      <c r="E351" s="23" t="s">
        <v>199</v>
      </c>
    </row>
    <row r="352" spans="1:5" ht="31" x14ac:dyDescent="0.3">
      <c r="A352" s="18">
        <v>351</v>
      </c>
      <c r="B352" s="19" t="s">
        <v>970</v>
      </c>
      <c r="C352" s="21" t="s">
        <v>604</v>
      </c>
      <c r="D352" s="24">
        <v>20</v>
      </c>
      <c r="E352" s="23" t="s">
        <v>199</v>
      </c>
    </row>
    <row r="353" spans="1:5" ht="46.5" x14ac:dyDescent="0.3">
      <c r="A353" s="18">
        <v>352</v>
      </c>
      <c r="B353" s="19" t="s">
        <v>971</v>
      </c>
      <c r="C353" s="21" t="s">
        <v>701</v>
      </c>
      <c r="D353" s="24">
        <v>0</v>
      </c>
      <c r="E353" s="23" t="s">
        <v>199</v>
      </c>
    </row>
    <row r="354" spans="1:5" ht="46.5" x14ac:dyDescent="0.3">
      <c r="A354" s="18">
        <v>353</v>
      </c>
      <c r="B354" s="19" t="s">
        <v>972</v>
      </c>
      <c r="C354" s="21" t="s">
        <v>577</v>
      </c>
      <c r="D354" s="24">
        <v>0</v>
      </c>
      <c r="E354" s="23" t="s">
        <v>199</v>
      </c>
    </row>
    <row r="355" spans="1:5" ht="46.5" x14ac:dyDescent="0.3">
      <c r="A355" s="18">
        <v>354</v>
      </c>
      <c r="B355" s="19" t="s">
        <v>973</v>
      </c>
      <c r="C355" s="21" t="s">
        <v>577</v>
      </c>
      <c r="D355" s="24">
        <v>0</v>
      </c>
      <c r="E355" s="23" t="s">
        <v>199</v>
      </c>
    </row>
    <row r="356" spans="1:5" ht="46.5" x14ac:dyDescent="0.3">
      <c r="A356" s="18">
        <v>355</v>
      </c>
      <c r="B356" s="19" t="s">
        <v>974</v>
      </c>
      <c r="C356" s="21" t="s">
        <v>577</v>
      </c>
      <c r="D356" s="24">
        <v>0</v>
      </c>
      <c r="E356" s="23" t="s">
        <v>199</v>
      </c>
    </row>
    <row r="357" spans="1:5" ht="46.5" x14ac:dyDescent="0.3">
      <c r="A357" s="18">
        <v>356</v>
      </c>
      <c r="B357" s="19" t="s">
        <v>975</v>
      </c>
      <c r="C357" s="21" t="s">
        <v>577</v>
      </c>
      <c r="D357" s="24">
        <v>0</v>
      </c>
      <c r="E357" s="23" t="s">
        <v>199</v>
      </c>
    </row>
    <row r="358" spans="1:5" ht="46.5" x14ac:dyDescent="0.3">
      <c r="A358" s="18">
        <v>357</v>
      </c>
      <c r="B358" s="19" t="s">
        <v>976</v>
      </c>
      <c r="C358" s="21" t="s">
        <v>577</v>
      </c>
      <c r="D358" s="24">
        <v>0</v>
      </c>
      <c r="E358" s="23" t="s">
        <v>199</v>
      </c>
    </row>
    <row r="359" spans="1:5" ht="46.5" x14ac:dyDescent="0.3">
      <c r="A359" s="18">
        <v>358</v>
      </c>
      <c r="B359" s="19" t="s">
        <v>977</v>
      </c>
      <c r="C359" s="21" t="s">
        <v>577</v>
      </c>
      <c r="D359" s="24">
        <v>0</v>
      </c>
      <c r="E359" s="23" t="s">
        <v>199</v>
      </c>
    </row>
    <row r="360" spans="1:5" ht="46.5" x14ac:dyDescent="0.3">
      <c r="A360" s="18">
        <v>359</v>
      </c>
      <c r="B360" s="19" t="s">
        <v>978</v>
      </c>
      <c r="C360" s="21" t="s">
        <v>577</v>
      </c>
      <c r="D360" s="24">
        <v>0</v>
      </c>
      <c r="E360" s="23" t="s">
        <v>199</v>
      </c>
    </row>
    <row r="361" spans="1:5" ht="46.5" x14ac:dyDescent="0.3">
      <c r="A361" s="18">
        <v>360</v>
      </c>
      <c r="B361" s="19" t="s">
        <v>979</v>
      </c>
      <c r="C361" s="21" t="s">
        <v>577</v>
      </c>
      <c r="D361" s="24">
        <v>0</v>
      </c>
      <c r="E361" s="23" t="s">
        <v>199</v>
      </c>
    </row>
    <row r="362" spans="1:5" ht="46.5" x14ac:dyDescent="0.3">
      <c r="A362" s="18">
        <v>361</v>
      </c>
      <c r="B362" s="19" t="s">
        <v>980</v>
      </c>
      <c r="C362" s="21" t="s">
        <v>577</v>
      </c>
      <c r="D362" s="24">
        <v>0</v>
      </c>
      <c r="E362" s="23" t="s">
        <v>199</v>
      </c>
    </row>
    <row r="363" spans="1:5" ht="46.5" x14ac:dyDescent="0.3">
      <c r="A363" s="18">
        <v>362</v>
      </c>
      <c r="B363" s="19" t="s">
        <v>981</v>
      </c>
      <c r="C363" s="21" t="s">
        <v>577</v>
      </c>
      <c r="D363" s="24">
        <v>0</v>
      </c>
      <c r="E363" s="23" t="s">
        <v>199</v>
      </c>
    </row>
    <row r="364" spans="1:5" ht="46.5" x14ac:dyDescent="0.3">
      <c r="A364" s="18">
        <v>363</v>
      </c>
      <c r="B364" s="19" t="s">
        <v>982</v>
      </c>
      <c r="C364" s="21" t="s">
        <v>577</v>
      </c>
      <c r="D364" s="24">
        <v>0</v>
      </c>
      <c r="E364" s="23" t="s">
        <v>199</v>
      </c>
    </row>
    <row r="365" spans="1:5" ht="77.5" x14ac:dyDescent="0.3">
      <c r="A365" s="18">
        <v>364</v>
      </c>
      <c r="B365" s="19" t="s">
        <v>983</v>
      </c>
      <c r="C365" s="21" t="s">
        <v>585</v>
      </c>
      <c r="D365" s="24">
        <v>0</v>
      </c>
      <c r="E365" s="23" t="s">
        <v>199</v>
      </c>
    </row>
    <row r="366" spans="1:5" ht="31" x14ac:dyDescent="0.3">
      <c r="A366" s="18">
        <v>365</v>
      </c>
      <c r="B366" s="19" t="s">
        <v>984</v>
      </c>
      <c r="C366" s="21" t="s">
        <v>575</v>
      </c>
      <c r="D366" s="24">
        <v>20</v>
      </c>
      <c r="E366" s="23" t="s">
        <v>199</v>
      </c>
    </row>
    <row r="367" spans="1:5" ht="31" x14ac:dyDescent="0.3">
      <c r="A367" s="18">
        <v>366</v>
      </c>
      <c r="B367" s="19" t="s">
        <v>985</v>
      </c>
      <c r="C367" s="21" t="s">
        <v>575</v>
      </c>
      <c r="D367" s="24">
        <v>20</v>
      </c>
      <c r="E367" s="23" t="s">
        <v>199</v>
      </c>
    </row>
    <row r="368" spans="1:5" ht="31" x14ac:dyDescent="0.3">
      <c r="A368" s="18">
        <v>367</v>
      </c>
      <c r="B368" s="19" t="s">
        <v>986</v>
      </c>
      <c r="C368" s="21" t="s">
        <v>575</v>
      </c>
      <c r="D368" s="24">
        <v>20</v>
      </c>
      <c r="E368" s="23" t="s">
        <v>199</v>
      </c>
    </row>
    <row r="369" spans="1:5" ht="31" x14ac:dyDescent="0.3">
      <c r="A369" s="18">
        <v>368</v>
      </c>
      <c r="B369" s="19" t="s">
        <v>987</v>
      </c>
      <c r="C369" s="21" t="s">
        <v>600</v>
      </c>
      <c r="D369" s="24">
        <v>0</v>
      </c>
      <c r="E369" s="23" t="s">
        <v>199</v>
      </c>
    </row>
    <row r="370" spans="1:5" ht="31" x14ac:dyDescent="0.3">
      <c r="A370" s="18">
        <v>369</v>
      </c>
      <c r="B370" s="19" t="s">
        <v>988</v>
      </c>
      <c r="C370" s="21" t="s">
        <v>600</v>
      </c>
      <c r="D370" s="24">
        <v>0</v>
      </c>
      <c r="E370" s="23" t="s">
        <v>199</v>
      </c>
    </row>
    <row r="371" spans="1:5" ht="31" x14ac:dyDescent="0.3">
      <c r="A371" s="18">
        <v>370</v>
      </c>
      <c r="B371" s="19" t="s">
        <v>989</v>
      </c>
      <c r="C371" s="21" t="s">
        <v>575</v>
      </c>
      <c r="D371" s="24">
        <v>20</v>
      </c>
      <c r="E371" s="23" t="s">
        <v>199</v>
      </c>
    </row>
    <row r="372" spans="1:5" ht="46.5" x14ac:dyDescent="0.3">
      <c r="A372" s="18">
        <v>371</v>
      </c>
      <c r="B372" s="19" t="s">
        <v>990</v>
      </c>
      <c r="C372" s="21" t="s">
        <v>596</v>
      </c>
      <c r="D372" s="24">
        <v>0</v>
      </c>
      <c r="E372" s="23" t="s">
        <v>199</v>
      </c>
    </row>
    <row r="373" spans="1:5" ht="31" x14ac:dyDescent="0.3">
      <c r="A373" s="18">
        <v>372</v>
      </c>
      <c r="B373" s="19" t="s">
        <v>991</v>
      </c>
      <c r="C373" s="21" t="s">
        <v>575</v>
      </c>
      <c r="D373" s="24">
        <v>20</v>
      </c>
      <c r="E373" s="23" t="s">
        <v>199</v>
      </c>
    </row>
    <row r="374" spans="1:5" ht="31" x14ac:dyDescent="0.3">
      <c r="A374" s="18">
        <v>373</v>
      </c>
      <c r="B374" s="19" t="s">
        <v>992</v>
      </c>
      <c r="C374" s="21" t="s">
        <v>595</v>
      </c>
      <c r="D374" s="24">
        <v>0</v>
      </c>
      <c r="E374" s="23" t="s">
        <v>199</v>
      </c>
    </row>
    <row r="375" spans="1:5" ht="46.5" x14ac:dyDescent="0.3">
      <c r="A375" s="18">
        <v>374</v>
      </c>
      <c r="B375" s="19" t="s">
        <v>993</v>
      </c>
      <c r="C375" s="21" t="s">
        <v>596</v>
      </c>
      <c r="D375" s="24">
        <v>0</v>
      </c>
      <c r="E375" s="23" t="s">
        <v>199</v>
      </c>
    </row>
    <row r="376" spans="1:5" ht="31" x14ac:dyDescent="0.3">
      <c r="A376" s="18">
        <v>375</v>
      </c>
      <c r="B376" s="19" t="s">
        <v>994</v>
      </c>
      <c r="C376" s="21" t="s">
        <v>575</v>
      </c>
      <c r="D376" s="24">
        <v>20</v>
      </c>
      <c r="E376" s="23" t="s">
        <v>199</v>
      </c>
    </row>
    <row r="377" spans="1:5" ht="31" x14ac:dyDescent="0.3">
      <c r="A377" s="18">
        <v>376</v>
      </c>
      <c r="B377" s="19" t="s">
        <v>995</v>
      </c>
      <c r="C377" s="21" t="s">
        <v>575</v>
      </c>
      <c r="D377" s="24">
        <v>20</v>
      </c>
      <c r="E377" s="23" t="s">
        <v>199</v>
      </c>
    </row>
    <row r="378" spans="1:5" ht="31" x14ac:dyDescent="0.3">
      <c r="A378" s="18">
        <v>377</v>
      </c>
      <c r="B378" s="19" t="s">
        <v>996</v>
      </c>
      <c r="C378" s="21" t="s">
        <v>575</v>
      </c>
      <c r="D378" s="24">
        <v>20</v>
      </c>
      <c r="E378" s="23" t="s">
        <v>199</v>
      </c>
    </row>
    <row r="379" spans="1:5" ht="31" x14ac:dyDescent="0.3">
      <c r="A379" s="18">
        <v>378</v>
      </c>
      <c r="B379" s="19" t="s">
        <v>997</v>
      </c>
      <c r="C379" s="21" t="s">
        <v>575</v>
      </c>
      <c r="D379" s="24">
        <v>20</v>
      </c>
      <c r="E379" s="23" t="s">
        <v>199</v>
      </c>
    </row>
    <row r="380" spans="1:5" ht="46.5" x14ac:dyDescent="0.3">
      <c r="A380" s="18">
        <v>379</v>
      </c>
      <c r="B380" s="19" t="s">
        <v>998</v>
      </c>
      <c r="C380" s="21" t="s">
        <v>596</v>
      </c>
      <c r="D380" s="24">
        <v>0</v>
      </c>
      <c r="E380" s="23" t="s">
        <v>199</v>
      </c>
    </row>
    <row r="381" spans="1:5" ht="46.5" x14ac:dyDescent="0.3">
      <c r="A381" s="18">
        <v>380</v>
      </c>
      <c r="B381" s="19" t="s">
        <v>999</v>
      </c>
      <c r="C381" s="21" t="s">
        <v>596</v>
      </c>
      <c r="D381" s="24">
        <v>0</v>
      </c>
      <c r="E381" s="23" t="s">
        <v>199</v>
      </c>
    </row>
    <row r="382" spans="1:5" ht="46.5" x14ac:dyDescent="0.3">
      <c r="A382" s="18">
        <v>381</v>
      </c>
      <c r="B382" s="19" t="s">
        <v>1000</v>
      </c>
      <c r="C382" s="21" t="s">
        <v>596</v>
      </c>
      <c r="D382" s="24">
        <v>0</v>
      </c>
      <c r="E382" s="23" t="s">
        <v>199</v>
      </c>
    </row>
    <row r="383" spans="1:5" ht="46.5" x14ac:dyDescent="0.3">
      <c r="A383" s="18">
        <v>382</v>
      </c>
      <c r="B383" s="19" t="s">
        <v>1001</v>
      </c>
      <c r="C383" s="21" t="s">
        <v>596</v>
      </c>
      <c r="D383" s="24">
        <v>0</v>
      </c>
      <c r="E383" s="23" t="s">
        <v>199</v>
      </c>
    </row>
    <row r="384" spans="1:5" ht="46.5" x14ac:dyDescent="0.3">
      <c r="A384" s="18">
        <v>383</v>
      </c>
      <c r="B384" s="19" t="s">
        <v>1002</v>
      </c>
      <c r="C384" s="21" t="s">
        <v>590</v>
      </c>
      <c r="D384" s="24">
        <v>0</v>
      </c>
      <c r="E384" s="23" t="s">
        <v>199</v>
      </c>
    </row>
    <row r="385" spans="1:5" ht="31" x14ac:dyDescent="0.3">
      <c r="A385" s="18">
        <v>384</v>
      </c>
      <c r="B385" s="19" t="s">
        <v>1003</v>
      </c>
      <c r="C385" s="21" t="s">
        <v>575</v>
      </c>
      <c r="D385" s="24">
        <v>20</v>
      </c>
      <c r="E385" s="23" t="s">
        <v>199</v>
      </c>
    </row>
    <row r="386" spans="1:5" ht="31" x14ac:dyDescent="0.3">
      <c r="A386" s="18">
        <v>385</v>
      </c>
      <c r="B386" s="19" t="s">
        <v>1004</v>
      </c>
      <c r="C386" s="21" t="s">
        <v>575</v>
      </c>
      <c r="D386" s="24">
        <v>20</v>
      </c>
      <c r="E386" s="23" t="s">
        <v>199</v>
      </c>
    </row>
    <row r="387" spans="1:5" ht="31" x14ac:dyDescent="0.3">
      <c r="A387" s="18">
        <v>386</v>
      </c>
      <c r="B387" s="19" t="s">
        <v>1005</v>
      </c>
      <c r="C387" s="21" t="s">
        <v>575</v>
      </c>
      <c r="D387" s="24">
        <v>20</v>
      </c>
      <c r="E387" s="23" t="s">
        <v>199</v>
      </c>
    </row>
    <row r="388" spans="1:5" ht="46.5" x14ac:dyDescent="0.3">
      <c r="A388" s="18">
        <v>387</v>
      </c>
      <c r="B388" s="19" t="s">
        <v>1006</v>
      </c>
      <c r="C388" s="21" t="s">
        <v>596</v>
      </c>
      <c r="D388" s="24">
        <v>0</v>
      </c>
      <c r="E388" s="23" t="s">
        <v>199</v>
      </c>
    </row>
    <row r="389" spans="1:5" ht="46.5" x14ac:dyDescent="0.3">
      <c r="A389" s="18">
        <v>388</v>
      </c>
      <c r="B389" s="19" t="s">
        <v>1007</v>
      </c>
      <c r="C389" s="21" t="s">
        <v>590</v>
      </c>
      <c r="D389" s="24">
        <v>0</v>
      </c>
      <c r="E389" s="23" t="s">
        <v>199</v>
      </c>
    </row>
    <row r="390" spans="1:5" ht="46.5" x14ac:dyDescent="0.3">
      <c r="A390" s="18">
        <v>389</v>
      </c>
      <c r="B390" s="19" t="s">
        <v>1008</v>
      </c>
      <c r="C390" s="21" t="s">
        <v>701</v>
      </c>
      <c r="D390" s="24">
        <v>0</v>
      </c>
      <c r="E390" s="23" t="s">
        <v>199</v>
      </c>
    </row>
    <row r="391" spans="1:5" ht="31" x14ac:dyDescent="0.3">
      <c r="A391" s="18">
        <v>390</v>
      </c>
      <c r="B391" s="19" t="s">
        <v>1009</v>
      </c>
      <c r="C391" s="21" t="s">
        <v>600</v>
      </c>
      <c r="D391" s="24">
        <v>0</v>
      </c>
      <c r="E391" s="23" t="s">
        <v>199</v>
      </c>
    </row>
    <row r="392" spans="1:5" ht="46.5" x14ac:dyDescent="0.3">
      <c r="A392" s="18">
        <v>391</v>
      </c>
      <c r="B392" s="19" t="s">
        <v>1010</v>
      </c>
      <c r="C392" s="21" t="s">
        <v>701</v>
      </c>
      <c r="D392" s="24">
        <v>0</v>
      </c>
      <c r="E392" s="23" t="s">
        <v>199</v>
      </c>
    </row>
    <row r="393" spans="1:5" ht="31" x14ac:dyDescent="0.3">
      <c r="A393" s="18">
        <v>392</v>
      </c>
      <c r="B393" s="19" t="s">
        <v>1011</v>
      </c>
      <c r="C393" s="21" t="s">
        <v>575</v>
      </c>
      <c r="D393" s="24">
        <v>20</v>
      </c>
      <c r="E393" s="23" t="s">
        <v>199</v>
      </c>
    </row>
    <row r="394" spans="1:5" ht="46.5" x14ac:dyDescent="0.3">
      <c r="A394" s="18">
        <v>393</v>
      </c>
      <c r="B394" s="21" t="s">
        <v>1012</v>
      </c>
      <c r="C394" s="21" t="s">
        <v>591</v>
      </c>
      <c r="D394" s="24">
        <v>0</v>
      </c>
      <c r="E394" s="23" t="s">
        <v>199</v>
      </c>
    </row>
    <row r="395" spans="1:5" ht="31" x14ac:dyDescent="0.3">
      <c r="A395" s="18">
        <v>394</v>
      </c>
      <c r="B395" s="21" t="s">
        <v>1013</v>
      </c>
      <c r="C395" s="19" t="s">
        <v>575</v>
      </c>
      <c r="D395" s="24">
        <v>20</v>
      </c>
      <c r="E395" s="23" t="s">
        <v>199</v>
      </c>
    </row>
    <row r="396" spans="1:5" ht="31" x14ac:dyDescent="0.3">
      <c r="A396" s="18">
        <v>395</v>
      </c>
      <c r="B396" s="21" t="s">
        <v>1014</v>
      </c>
      <c r="C396" s="19" t="s">
        <v>575</v>
      </c>
      <c r="D396" s="24">
        <v>20</v>
      </c>
      <c r="E396" s="23" t="s">
        <v>199</v>
      </c>
    </row>
    <row r="397" spans="1:5" ht="31" x14ac:dyDescent="0.3">
      <c r="A397" s="18">
        <v>396</v>
      </c>
      <c r="B397" s="21" t="s">
        <v>1015</v>
      </c>
      <c r="C397" s="21" t="s">
        <v>575</v>
      </c>
      <c r="D397" s="24">
        <v>20</v>
      </c>
      <c r="E397" s="23" t="s">
        <v>199</v>
      </c>
    </row>
    <row r="398" spans="1:5" ht="31" x14ac:dyDescent="0.3">
      <c r="A398" s="18">
        <v>397</v>
      </c>
      <c r="B398" s="21" t="s">
        <v>1016</v>
      </c>
      <c r="C398" s="21" t="s">
        <v>575</v>
      </c>
      <c r="D398" s="24">
        <v>20</v>
      </c>
      <c r="E398" s="23" t="s">
        <v>199</v>
      </c>
    </row>
    <row r="399" spans="1:5" ht="46.5" x14ac:dyDescent="0.3">
      <c r="A399" s="18">
        <v>398</v>
      </c>
      <c r="B399" s="21" t="s">
        <v>1017</v>
      </c>
      <c r="C399" s="21" t="s">
        <v>701</v>
      </c>
      <c r="D399" s="24">
        <v>0</v>
      </c>
      <c r="E399" s="23" t="s">
        <v>199</v>
      </c>
    </row>
    <row r="400" spans="1:5" ht="46.5" x14ac:dyDescent="0.3">
      <c r="A400" s="18">
        <v>399</v>
      </c>
      <c r="B400" s="21" t="s">
        <v>1018</v>
      </c>
      <c r="C400" s="21" t="s">
        <v>701</v>
      </c>
      <c r="D400" s="24">
        <v>0</v>
      </c>
      <c r="E400" s="23" t="s">
        <v>199</v>
      </c>
    </row>
    <row r="401" spans="1:5" ht="46.5" x14ac:dyDescent="0.3">
      <c r="A401" s="18">
        <v>400</v>
      </c>
      <c r="B401" s="21" t="s">
        <v>1019</v>
      </c>
      <c r="C401" s="21" t="s">
        <v>701</v>
      </c>
      <c r="D401" s="24">
        <v>0</v>
      </c>
      <c r="E401" s="23" t="s">
        <v>199</v>
      </c>
    </row>
    <row r="402" spans="1:5" ht="62" x14ac:dyDescent="0.3">
      <c r="A402" s="18">
        <v>401</v>
      </c>
      <c r="B402" s="21" t="s">
        <v>1020</v>
      </c>
      <c r="C402" s="21" t="s">
        <v>574</v>
      </c>
      <c r="D402" s="24">
        <v>10</v>
      </c>
      <c r="E402" s="23" t="s">
        <v>199</v>
      </c>
    </row>
    <row r="403" spans="1:5" ht="46.5" x14ac:dyDescent="0.3">
      <c r="A403" s="18">
        <v>402</v>
      </c>
      <c r="B403" s="19" t="s">
        <v>1021</v>
      </c>
      <c r="C403" s="21" t="s">
        <v>596</v>
      </c>
      <c r="D403" s="24">
        <v>0</v>
      </c>
      <c r="E403" s="23" t="s">
        <v>199</v>
      </c>
    </row>
    <row r="404" spans="1:5" ht="31" x14ac:dyDescent="0.3">
      <c r="A404" s="18">
        <v>403</v>
      </c>
      <c r="B404" s="19" t="s">
        <v>1022</v>
      </c>
      <c r="C404" s="21" t="s">
        <v>598</v>
      </c>
      <c r="D404" s="24">
        <v>0</v>
      </c>
      <c r="E404" s="23" t="s">
        <v>199</v>
      </c>
    </row>
    <row r="405" spans="1:5" ht="15.5" x14ac:dyDescent="0.3">
      <c r="A405" s="18">
        <v>404</v>
      </c>
      <c r="B405" s="21" t="s">
        <v>1023</v>
      </c>
      <c r="C405" s="21" t="s">
        <v>598</v>
      </c>
      <c r="D405" s="24">
        <v>0</v>
      </c>
      <c r="E405" s="23" t="s">
        <v>199</v>
      </c>
    </row>
    <row r="406" spans="1:5" ht="46.5" x14ac:dyDescent="0.3">
      <c r="A406" s="18">
        <v>405</v>
      </c>
      <c r="B406" s="21" t="s">
        <v>1024</v>
      </c>
      <c r="C406" s="21" t="s">
        <v>598</v>
      </c>
      <c r="D406" s="24">
        <v>0</v>
      </c>
      <c r="E406" s="23" t="s">
        <v>199</v>
      </c>
    </row>
    <row r="407" spans="1:5" ht="15.5" x14ac:dyDescent="0.3">
      <c r="A407" s="18">
        <v>406</v>
      </c>
      <c r="B407" s="21" t="s">
        <v>1025</v>
      </c>
      <c r="C407" s="21" t="s">
        <v>598</v>
      </c>
      <c r="D407" s="24">
        <v>0</v>
      </c>
      <c r="E407" s="23" t="s">
        <v>199</v>
      </c>
    </row>
    <row r="408" spans="1:5" ht="46.5" x14ac:dyDescent="0.3">
      <c r="A408" s="18">
        <v>407</v>
      </c>
      <c r="B408" s="21" t="s">
        <v>1026</v>
      </c>
      <c r="C408" s="21" t="s">
        <v>598</v>
      </c>
      <c r="D408" s="24">
        <v>0</v>
      </c>
      <c r="E408" s="23" t="s">
        <v>199</v>
      </c>
    </row>
    <row r="409" spans="1:5" ht="31" x14ac:dyDescent="0.3">
      <c r="A409" s="18">
        <v>408</v>
      </c>
      <c r="B409" s="21" t="s">
        <v>1027</v>
      </c>
      <c r="C409" s="21" t="s">
        <v>598</v>
      </c>
      <c r="D409" s="24">
        <v>0</v>
      </c>
      <c r="E409" s="23" t="s">
        <v>199</v>
      </c>
    </row>
    <row r="410" spans="1:5" ht="46.5" x14ac:dyDescent="0.3">
      <c r="A410" s="18">
        <v>409</v>
      </c>
      <c r="B410" s="21" t="s">
        <v>1028</v>
      </c>
      <c r="C410" s="21" t="s">
        <v>598</v>
      </c>
      <c r="D410" s="24">
        <v>0</v>
      </c>
      <c r="E410" s="23" t="s">
        <v>199</v>
      </c>
    </row>
    <row r="411" spans="1:5" ht="46.5" x14ac:dyDescent="0.3">
      <c r="A411" s="18">
        <v>410</v>
      </c>
      <c r="B411" s="21" t="s">
        <v>603</v>
      </c>
      <c r="C411" s="21" t="s">
        <v>603</v>
      </c>
      <c r="D411" s="24">
        <v>10</v>
      </c>
      <c r="E411" s="23" t="s">
        <v>199</v>
      </c>
    </row>
    <row r="412" spans="1:5" ht="31" x14ac:dyDescent="0.3">
      <c r="A412" s="18">
        <v>411</v>
      </c>
      <c r="B412" s="21" t="s">
        <v>1029</v>
      </c>
      <c r="C412" s="21" t="s">
        <v>603</v>
      </c>
      <c r="D412" s="24">
        <v>10</v>
      </c>
      <c r="E412" s="23" t="s">
        <v>199</v>
      </c>
    </row>
    <row r="413" spans="1:5" ht="31" x14ac:dyDescent="0.3">
      <c r="A413" s="18">
        <v>412</v>
      </c>
      <c r="B413" s="19" t="s">
        <v>1030</v>
      </c>
      <c r="C413" s="21" t="s">
        <v>575</v>
      </c>
      <c r="D413" s="24">
        <v>20</v>
      </c>
      <c r="E413" s="23" t="s">
        <v>199</v>
      </c>
    </row>
    <row r="414" spans="1:5" ht="46.5" x14ac:dyDescent="0.3">
      <c r="A414" s="18">
        <v>413</v>
      </c>
      <c r="B414" s="19" t="s">
        <v>1031</v>
      </c>
      <c r="C414" s="21" t="s">
        <v>591</v>
      </c>
      <c r="D414" s="24">
        <v>0</v>
      </c>
      <c r="E414" s="23" t="s">
        <v>199</v>
      </c>
    </row>
    <row r="415" spans="1:5" ht="46.5" x14ac:dyDescent="0.3">
      <c r="A415" s="18">
        <v>414</v>
      </c>
      <c r="B415" s="19" t="s">
        <v>1032</v>
      </c>
      <c r="C415" s="21" t="s">
        <v>591</v>
      </c>
      <c r="D415" s="24">
        <v>0</v>
      </c>
      <c r="E415" s="23" t="s">
        <v>199</v>
      </c>
    </row>
    <row r="416" spans="1:5" ht="46.5" x14ac:dyDescent="0.3">
      <c r="A416" s="18">
        <v>415</v>
      </c>
      <c r="B416" s="19" t="s">
        <v>1033</v>
      </c>
      <c r="C416" s="21" t="s">
        <v>591</v>
      </c>
      <c r="D416" s="24">
        <v>0</v>
      </c>
      <c r="E416" s="23" t="s">
        <v>199</v>
      </c>
    </row>
    <row r="417" spans="1:5" ht="46.5" x14ac:dyDescent="0.3">
      <c r="A417" s="18">
        <v>416</v>
      </c>
      <c r="B417" s="19" t="s">
        <v>1034</v>
      </c>
      <c r="C417" s="21" t="s">
        <v>591</v>
      </c>
      <c r="D417" s="24">
        <v>0</v>
      </c>
      <c r="E417" s="23" t="s">
        <v>199</v>
      </c>
    </row>
    <row r="418" spans="1:5" ht="46.5" x14ac:dyDescent="0.3">
      <c r="A418" s="18">
        <v>417</v>
      </c>
      <c r="B418" s="19" t="s">
        <v>1035</v>
      </c>
      <c r="C418" s="21" t="s">
        <v>591</v>
      </c>
      <c r="D418" s="24">
        <v>0</v>
      </c>
      <c r="E418" s="23" t="s">
        <v>199</v>
      </c>
    </row>
    <row r="419" spans="1:5" ht="46.5" x14ac:dyDescent="0.3">
      <c r="A419" s="18">
        <v>418</v>
      </c>
      <c r="B419" s="19" t="s">
        <v>1036</v>
      </c>
      <c r="C419" s="21" t="s">
        <v>591</v>
      </c>
      <c r="D419" s="24">
        <v>0</v>
      </c>
      <c r="E419" s="23" t="s">
        <v>199</v>
      </c>
    </row>
    <row r="420" spans="1:5" ht="46.5" x14ac:dyDescent="0.3">
      <c r="A420" s="18">
        <v>419</v>
      </c>
      <c r="B420" s="19" t="s">
        <v>1037</v>
      </c>
      <c r="C420" s="21" t="s">
        <v>591</v>
      </c>
      <c r="D420" s="24">
        <v>0</v>
      </c>
      <c r="E420" s="23" t="s">
        <v>199</v>
      </c>
    </row>
    <row r="421" spans="1:5" ht="46.5" x14ac:dyDescent="0.3">
      <c r="A421" s="18">
        <v>420</v>
      </c>
      <c r="B421" s="19" t="s">
        <v>1038</v>
      </c>
      <c r="C421" s="21" t="s">
        <v>591</v>
      </c>
      <c r="D421" s="24">
        <v>0</v>
      </c>
      <c r="E421" s="23" t="s">
        <v>199</v>
      </c>
    </row>
    <row r="422" spans="1:5" ht="46.5" x14ac:dyDescent="0.3">
      <c r="A422" s="18">
        <v>421</v>
      </c>
      <c r="B422" s="19" t="s">
        <v>1039</v>
      </c>
      <c r="C422" s="21" t="s">
        <v>591</v>
      </c>
      <c r="D422" s="24">
        <v>0</v>
      </c>
      <c r="E422" s="23" t="s">
        <v>199</v>
      </c>
    </row>
    <row r="423" spans="1:5" ht="46.5" x14ac:dyDescent="0.3">
      <c r="A423" s="18">
        <v>422</v>
      </c>
      <c r="B423" s="19" t="s">
        <v>1040</v>
      </c>
      <c r="C423" s="21" t="s">
        <v>591</v>
      </c>
      <c r="D423" s="24">
        <v>0</v>
      </c>
      <c r="E423" s="23" t="s">
        <v>199</v>
      </c>
    </row>
    <row r="424" spans="1:5" ht="46.5" x14ac:dyDescent="0.3">
      <c r="A424" s="18">
        <v>423</v>
      </c>
      <c r="B424" s="19" t="s">
        <v>1041</v>
      </c>
      <c r="C424" s="21" t="s">
        <v>575</v>
      </c>
      <c r="D424" s="24">
        <v>20</v>
      </c>
      <c r="E424" s="23" t="s">
        <v>199</v>
      </c>
    </row>
    <row r="425" spans="1:5" ht="46.5" x14ac:dyDescent="0.3">
      <c r="A425" s="18">
        <v>424</v>
      </c>
      <c r="B425" s="19" t="s">
        <v>1042</v>
      </c>
      <c r="C425" s="21" t="s">
        <v>575</v>
      </c>
      <c r="D425" s="24">
        <v>20</v>
      </c>
      <c r="E425" s="23" t="s">
        <v>199</v>
      </c>
    </row>
    <row r="426" spans="1:5" ht="31" x14ac:dyDescent="0.3">
      <c r="A426" s="18">
        <v>425</v>
      </c>
      <c r="B426" s="19" t="s">
        <v>1043</v>
      </c>
      <c r="C426" s="21" t="s">
        <v>575</v>
      </c>
      <c r="D426" s="24">
        <v>20</v>
      </c>
      <c r="E426" s="23" t="s">
        <v>199</v>
      </c>
    </row>
    <row r="427" spans="1:5" ht="31" x14ac:dyDescent="0.3">
      <c r="A427" s="18">
        <v>426</v>
      </c>
      <c r="B427" s="19" t="s">
        <v>1044</v>
      </c>
      <c r="C427" s="21" t="s">
        <v>575</v>
      </c>
      <c r="D427" s="24">
        <v>20</v>
      </c>
      <c r="E427" s="23" t="s">
        <v>199</v>
      </c>
    </row>
  </sheetData>
  <autoFilter ref="A1:E427" xr:uid="{E1A31B15-E781-48BF-8EFF-EF9002A2AF90}"/>
  <conditionalFormatting sqref="B411">
    <cfRule type="duplicateValues" dxfId="2" priority="1"/>
  </conditionalFormatting>
  <conditionalFormatting sqref="B412:B426 B404:B410 B387:B402">
    <cfRule type="duplicateValues" dxfId="1"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823D-F7CB-4C90-9F22-B90FFBEC4145}">
  <dimension ref="A1:C58"/>
  <sheetViews>
    <sheetView workbookViewId="0"/>
  </sheetViews>
  <sheetFormatPr defaultRowHeight="13" x14ac:dyDescent="0.3"/>
  <cols>
    <col min="1" max="1" width="8.796875" style="22"/>
    <col min="2" max="2" width="47.8984375" style="22" bestFit="1" customWidth="1"/>
    <col min="4" max="16384" width="8.796875" style="22"/>
  </cols>
  <sheetData>
    <row r="1" spans="1:2" ht="15" x14ac:dyDescent="0.3">
      <c r="A1" s="17" t="s">
        <v>480</v>
      </c>
      <c r="B1" s="17" t="s">
        <v>1105</v>
      </c>
    </row>
    <row r="2" spans="1:2" ht="15.5" x14ac:dyDescent="0.3">
      <c r="A2" s="18">
        <v>1</v>
      </c>
      <c r="B2" s="19" t="s">
        <v>1045</v>
      </c>
    </row>
    <row r="3" spans="1:2" ht="31" x14ac:dyDescent="0.3">
      <c r="A3" s="18">
        <v>2</v>
      </c>
      <c r="B3" s="21" t="s">
        <v>1046</v>
      </c>
    </row>
    <row r="4" spans="1:2" ht="15.5" x14ac:dyDescent="0.3">
      <c r="A4" s="18">
        <v>3</v>
      </c>
      <c r="B4" s="21" t="s">
        <v>1047</v>
      </c>
    </row>
    <row r="5" spans="1:2" ht="15.5" x14ac:dyDescent="0.3">
      <c r="A5" s="18">
        <v>4</v>
      </c>
      <c r="B5" s="21" t="s">
        <v>1048</v>
      </c>
    </row>
    <row r="6" spans="1:2" ht="15.5" x14ac:dyDescent="0.3">
      <c r="A6" s="18">
        <v>5</v>
      </c>
      <c r="B6" s="21" t="s">
        <v>1049</v>
      </c>
    </row>
    <row r="7" spans="1:2" ht="15.5" x14ac:dyDescent="0.3">
      <c r="A7" s="18">
        <v>6</v>
      </c>
      <c r="B7" s="21" t="s">
        <v>1050</v>
      </c>
    </row>
    <row r="8" spans="1:2" ht="15.5" x14ac:dyDescent="0.3">
      <c r="A8" s="18">
        <v>7</v>
      </c>
      <c r="B8" s="21" t="s">
        <v>1051</v>
      </c>
    </row>
    <row r="9" spans="1:2" ht="15.5" x14ac:dyDescent="0.3">
      <c r="A9" s="18">
        <v>8</v>
      </c>
      <c r="B9" s="21" t="s">
        <v>1052</v>
      </c>
    </row>
    <row r="10" spans="1:2" ht="15.5" x14ac:dyDescent="0.3">
      <c r="A10" s="18">
        <v>9</v>
      </c>
      <c r="B10" s="21" t="s">
        <v>1053</v>
      </c>
    </row>
    <row r="11" spans="1:2" ht="15.5" x14ac:dyDescent="0.3">
      <c r="A11" s="18">
        <v>10</v>
      </c>
      <c r="B11" s="21" t="s">
        <v>1054</v>
      </c>
    </row>
    <row r="12" spans="1:2" ht="15.5" x14ac:dyDescent="0.3">
      <c r="A12" s="18">
        <v>11</v>
      </c>
      <c r="B12" s="21" t="s">
        <v>1055</v>
      </c>
    </row>
    <row r="13" spans="1:2" ht="15.5" x14ac:dyDescent="0.3">
      <c r="A13" s="18">
        <v>12</v>
      </c>
      <c r="B13" s="21" t="s">
        <v>1056</v>
      </c>
    </row>
    <row r="14" spans="1:2" ht="15.5" x14ac:dyDescent="0.3">
      <c r="A14" s="18">
        <v>13</v>
      </c>
      <c r="B14" s="21" t="s">
        <v>1057</v>
      </c>
    </row>
    <row r="15" spans="1:2" ht="15.5" x14ac:dyDescent="0.3">
      <c r="A15" s="18">
        <v>14</v>
      </c>
      <c r="B15" s="21" t="s">
        <v>1058</v>
      </c>
    </row>
    <row r="16" spans="1:2" ht="15.5" x14ac:dyDescent="0.3">
      <c r="A16" s="18">
        <v>15</v>
      </c>
      <c r="B16" s="21" t="s">
        <v>1059</v>
      </c>
    </row>
    <row r="17" spans="1:2" ht="15.5" x14ac:dyDescent="0.3">
      <c r="A17" s="18">
        <v>16</v>
      </c>
      <c r="B17" s="21" t="s">
        <v>1060</v>
      </c>
    </row>
    <row r="18" spans="1:2" ht="31" x14ac:dyDescent="0.3">
      <c r="A18" s="18">
        <v>17</v>
      </c>
      <c r="B18" s="21" t="s">
        <v>1061</v>
      </c>
    </row>
    <row r="19" spans="1:2" ht="15.5" x14ac:dyDescent="0.3">
      <c r="A19" s="18">
        <v>18</v>
      </c>
      <c r="B19" s="21" t="s">
        <v>1062</v>
      </c>
    </row>
    <row r="20" spans="1:2" ht="31" x14ac:dyDescent="0.3">
      <c r="A20" s="18">
        <v>19</v>
      </c>
      <c r="B20" s="19" t="s">
        <v>1063</v>
      </c>
    </row>
    <row r="21" spans="1:2" ht="31" x14ac:dyDescent="0.3">
      <c r="A21" s="18">
        <v>20</v>
      </c>
      <c r="B21" s="19" t="s">
        <v>1064</v>
      </c>
    </row>
    <row r="22" spans="1:2" ht="31" x14ac:dyDescent="0.3">
      <c r="A22" s="18">
        <v>21</v>
      </c>
      <c r="B22" s="19" t="s">
        <v>1065</v>
      </c>
    </row>
    <row r="23" spans="1:2" ht="15.5" x14ac:dyDescent="0.3">
      <c r="A23" s="18">
        <v>22</v>
      </c>
      <c r="B23" s="19" t="s">
        <v>1066</v>
      </c>
    </row>
    <row r="24" spans="1:2" ht="15.5" x14ac:dyDescent="0.3">
      <c r="A24" s="18">
        <v>23</v>
      </c>
      <c r="B24" s="19" t="s">
        <v>1067</v>
      </c>
    </row>
    <row r="25" spans="1:2" ht="15.5" x14ac:dyDescent="0.3">
      <c r="A25" s="18">
        <v>24</v>
      </c>
      <c r="B25" s="19" t="s">
        <v>1068</v>
      </c>
    </row>
    <row r="26" spans="1:2" ht="15.5" x14ac:dyDescent="0.3">
      <c r="A26" s="18">
        <v>25</v>
      </c>
      <c r="B26" s="19" t="s">
        <v>1069</v>
      </c>
    </row>
    <row r="27" spans="1:2" ht="15.5" x14ac:dyDescent="0.3">
      <c r="A27" s="18">
        <v>26</v>
      </c>
      <c r="B27" s="19" t="s">
        <v>1070</v>
      </c>
    </row>
    <row r="28" spans="1:2" ht="15.5" x14ac:dyDescent="0.3">
      <c r="A28" s="18">
        <v>27</v>
      </c>
      <c r="B28" s="19" t="s">
        <v>1071</v>
      </c>
    </row>
    <row r="29" spans="1:2" ht="15.5" x14ac:dyDescent="0.3">
      <c r="A29" s="18">
        <v>28</v>
      </c>
      <c r="B29" s="19" t="s">
        <v>1072</v>
      </c>
    </row>
    <row r="30" spans="1:2" ht="31" x14ac:dyDescent="0.3">
      <c r="A30" s="18">
        <v>29</v>
      </c>
      <c r="B30" s="19" t="s">
        <v>1073</v>
      </c>
    </row>
    <row r="31" spans="1:2" ht="31" x14ac:dyDescent="0.3">
      <c r="A31" s="18">
        <v>30</v>
      </c>
      <c r="B31" s="19" t="s">
        <v>1074</v>
      </c>
    </row>
    <row r="32" spans="1:2" ht="15.5" x14ac:dyDescent="0.3">
      <c r="A32" s="18">
        <v>31</v>
      </c>
      <c r="B32" s="19" t="s">
        <v>1075</v>
      </c>
    </row>
    <row r="33" spans="1:2" ht="31" x14ac:dyDescent="0.3">
      <c r="A33" s="18">
        <v>32</v>
      </c>
      <c r="B33" s="19" t="s">
        <v>1076</v>
      </c>
    </row>
    <row r="34" spans="1:2" ht="31" x14ac:dyDescent="0.3">
      <c r="A34" s="18">
        <v>33</v>
      </c>
      <c r="B34" s="19" t="s">
        <v>1077</v>
      </c>
    </row>
    <row r="35" spans="1:2" ht="31" x14ac:dyDescent="0.3">
      <c r="A35" s="18">
        <v>34</v>
      </c>
      <c r="B35" s="19" t="s">
        <v>1078</v>
      </c>
    </row>
    <row r="36" spans="1:2" ht="15.5" x14ac:dyDescent="0.3">
      <c r="A36" s="18">
        <v>35</v>
      </c>
      <c r="B36" s="19" t="s">
        <v>1079</v>
      </c>
    </row>
    <row r="37" spans="1:2" ht="31" x14ac:dyDescent="0.3">
      <c r="A37" s="18">
        <v>36</v>
      </c>
      <c r="B37" s="19" t="s">
        <v>1080</v>
      </c>
    </row>
    <row r="38" spans="1:2" ht="31" x14ac:dyDescent="0.3">
      <c r="A38" s="18">
        <v>37</v>
      </c>
      <c r="B38" s="19" t="s">
        <v>1081</v>
      </c>
    </row>
    <row r="39" spans="1:2" ht="46.5" x14ac:dyDescent="0.3">
      <c r="A39" s="18">
        <v>38</v>
      </c>
      <c r="B39" s="19" t="s">
        <v>1082</v>
      </c>
    </row>
    <row r="40" spans="1:2" ht="15.5" x14ac:dyDescent="0.3">
      <c r="A40" s="18">
        <v>39</v>
      </c>
      <c r="B40" s="21" t="s">
        <v>1083</v>
      </c>
    </row>
    <row r="41" spans="1:2" ht="15.5" x14ac:dyDescent="0.3">
      <c r="A41" s="18">
        <v>40</v>
      </c>
      <c r="B41" s="21" t="s">
        <v>1084</v>
      </c>
    </row>
    <row r="42" spans="1:2" ht="15.5" x14ac:dyDescent="0.3">
      <c r="A42" s="18">
        <v>41</v>
      </c>
      <c r="B42" s="21" t="s">
        <v>1085</v>
      </c>
    </row>
    <row r="43" spans="1:2" ht="15.5" x14ac:dyDescent="0.3">
      <c r="A43" s="18">
        <v>42</v>
      </c>
      <c r="B43" s="21" t="s">
        <v>1086</v>
      </c>
    </row>
    <row r="44" spans="1:2" ht="15.5" x14ac:dyDescent="0.3">
      <c r="A44" s="18">
        <v>43</v>
      </c>
      <c r="B44" s="21" t="s">
        <v>1087</v>
      </c>
    </row>
    <row r="45" spans="1:2" ht="15.5" x14ac:dyDescent="0.3">
      <c r="A45" s="18">
        <v>44</v>
      </c>
      <c r="B45" s="21" t="s">
        <v>1088</v>
      </c>
    </row>
    <row r="46" spans="1:2" ht="15.5" x14ac:dyDescent="0.3">
      <c r="A46" s="18">
        <v>45</v>
      </c>
      <c r="B46" s="21" t="s">
        <v>1089</v>
      </c>
    </row>
    <row r="47" spans="1:2" ht="31" x14ac:dyDescent="0.3">
      <c r="A47" s="18">
        <v>46</v>
      </c>
      <c r="B47" s="21" t="s">
        <v>1090</v>
      </c>
    </row>
    <row r="48" spans="1:2" ht="31" x14ac:dyDescent="0.3">
      <c r="A48" s="18">
        <v>47</v>
      </c>
      <c r="B48" s="21" t="s">
        <v>1091</v>
      </c>
    </row>
    <row r="49" spans="1:2" ht="15.5" x14ac:dyDescent="0.3">
      <c r="A49" s="18">
        <v>48</v>
      </c>
      <c r="B49" s="21" t="s">
        <v>1092</v>
      </c>
    </row>
    <row r="50" spans="1:2" ht="15.5" x14ac:dyDescent="0.3">
      <c r="A50" s="18">
        <v>49</v>
      </c>
      <c r="B50" s="21" t="s">
        <v>1093</v>
      </c>
    </row>
    <row r="51" spans="1:2" ht="31" x14ac:dyDescent="0.3">
      <c r="A51" s="18">
        <v>50</v>
      </c>
      <c r="B51" s="21" t="s">
        <v>1094</v>
      </c>
    </row>
    <row r="52" spans="1:2" ht="15.5" x14ac:dyDescent="0.3">
      <c r="A52" s="18">
        <v>51</v>
      </c>
      <c r="B52" s="21" t="s">
        <v>1095</v>
      </c>
    </row>
    <row r="53" spans="1:2" ht="31" x14ac:dyDescent="0.3">
      <c r="A53" s="18">
        <v>52</v>
      </c>
      <c r="B53" s="21" t="s">
        <v>1096</v>
      </c>
    </row>
    <row r="54" spans="1:2" ht="15.5" x14ac:dyDescent="0.3">
      <c r="A54" s="18">
        <v>53</v>
      </c>
      <c r="B54" s="21" t="s">
        <v>1097</v>
      </c>
    </row>
    <row r="55" spans="1:2" ht="31" x14ac:dyDescent="0.3">
      <c r="A55" s="18">
        <v>54</v>
      </c>
      <c r="B55" s="21" t="s">
        <v>1098</v>
      </c>
    </row>
    <row r="56" spans="1:2" ht="15.5" x14ac:dyDescent="0.3">
      <c r="A56" s="18">
        <v>55</v>
      </c>
      <c r="B56" s="21" t="s">
        <v>1099</v>
      </c>
    </row>
    <row r="57" spans="1:2" ht="15.5" x14ac:dyDescent="0.3">
      <c r="A57" s="18">
        <v>56</v>
      </c>
      <c r="B57" s="21" t="s">
        <v>1100</v>
      </c>
    </row>
    <row r="58" spans="1:2" ht="31" x14ac:dyDescent="0.3">
      <c r="A58" s="18">
        <v>57</v>
      </c>
      <c r="B58" s="21" t="s">
        <v>1101</v>
      </c>
    </row>
  </sheetData>
  <conditionalFormatting sqref="B22:B5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CPCB list</vt:lpstr>
      <vt:lpstr>White sub sectors</vt:lpstr>
      <vt:lpstr>Not in ambit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CPCB</dc:creator>
  <cp:lastModifiedBy>Saubhagya Dixit</cp:lastModifiedBy>
  <cp:lastPrinted>2024-09-05T11:21:21Z</cp:lastPrinted>
  <dcterms:created xsi:type="dcterms:W3CDTF">2023-02-24T05:55:45Z</dcterms:created>
  <dcterms:modified xsi:type="dcterms:W3CDTF">2025-11-30T08:03:55Z</dcterms:modified>
</cp:coreProperties>
</file>